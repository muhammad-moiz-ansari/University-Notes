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updateLinks="always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W:\Database Systems\7. Database Fall 2015\"/>
    </mc:Choice>
  </mc:AlternateContent>
  <bookViews>
    <workbookView xWindow="0" yWindow="0" windowWidth="23040" windowHeight="9192"/>
  </bookViews>
  <sheets>
    <sheet name="Marksheet" sheetId="8" r:id="rId1"/>
    <sheet name="Sheet1" sheetId="7" r:id="rId2"/>
  </sheets>
  <definedNames>
    <definedName name="MaxNum">#REF!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5" i="8" l="1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D48" i="8"/>
  <c r="D47" i="8"/>
  <c r="D46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" i="8"/>
  <c r="Q6" i="8"/>
  <c r="Q51" i="8"/>
  <c r="P51" i="8"/>
  <c r="Q50" i="8"/>
  <c r="P50" i="8"/>
  <c r="Q49" i="8"/>
  <c r="P49" i="8"/>
  <c r="G5" i="7"/>
  <c r="G51" i="7"/>
  <c r="G50" i="7"/>
  <c r="G49" i="7"/>
  <c r="G48" i="7"/>
  <c r="O51" i="7"/>
  <c r="O50" i="7"/>
  <c r="O49" i="7"/>
  <c r="O48" i="7"/>
  <c r="N51" i="7"/>
  <c r="N50" i="7"/>
  <c r="N49" i="7"/>
  <c r="N48" i="7"/>
  <c r="V59" i="7"/>
  <c r="U59" i="7"/>
  <c r="T50" i="7"/>
  <c r="T59" i="7"/>
  <c r="S59" i="7"/>
  <c r="V58" i="7"/>
  <c r="U58" i="7"/>
  <c r="T58" i="7"/>
  <c r="S58" i="7"/>
  <c r="V57" i="7"/>
  <c r="U57" i="7"/>
  <c r="T57" i="7"/>
  <c r="S57" i="7"/>
  <c r="V56" i="7"/>
  <c r="U56" i="7"/>
  <c r="T56" i="7"/>
  <c r="S56" i="7"/>
  <c r="R51" i="7"/>
  <c r="Q44" i="7"/>
  <c r="Q51" i="7"/>
  <c r="R50" i="7"/>
  <c r="Q50" i="7"/>
  <c r="M51" i="7"/>
  <c r="L51" i="7"/>
  <c r="K51" i="7"/>
  <c r="J51" i="7"/>
  <c r="I51" i="7"/>
  <c r="H51" i="7"/>
  <c r="F51" i="7"/>
  <c r="E51" i="7"/>
  <c r="D51" i="7"/>
  <c r="R49" i="7"/>
  <c r="Q49" i="7"/>
  <c r="M50" i="7"/>
  <c r="L50" i="7"/>
  <c r="K50" i="7"/>
  <c r="J50" i="7"/>
  <c r="I50" i="7"/>
  <c r="H50" i="7"/>
  <c r="F50" i="7"/>
  <c r="E50" i="7"/>
  <c r="D50" i="7"/>
  <c r="R48" i="7"/>
  <c r="Q48" i="7"/>
  <c r="M49" i="7"/>
  <c r="L49" i="7"/>
  <c r="K49" i="7"/>
  <c r="J49" i="7"/>
  <c r="I49" i="7"/>
  <c r="H49" i="7"/>
  <c r="F49" i="7"/>
  <c r="E49" i="7"/>
  <c r="D49" i="7"/>
  <c r="M48" i="7"/>
  <c r="L48" i="7"/>
  <c r="K48" i="7"/>
  <c r="J48" i="7"/>
  <c r="I48" i="7"/>
  <c r="H48" i="7"/>
  <c r="F48" i="7"/>
  <c r="E48" i="7"/>
  <c r="D48" i="7"/>
</calcChain>
</file>

<file path=xl/sharedStrings.xml><?xml version="1.0" encoding="utf-8"?>
<sst xmlns="http://schemas.openxmlformats.org/spreadsheetml/2006/main" count="207" uniqueCount="121">
  <si>
    <t>Sr.</t>
  </si>
  <si>
    <t>Roll No.</t>
  </si>
  <si>
    <t>Student Name</t>
  </si>
  <si>
    <t>Maximum</t>
  </si>
  <si>
    <t>Minimum</t>
  </si>
  <si>
    <t>Average</t>
  </si>
  <si>
    <t>Standard Deviation</t>
  </si>
  <si>
    <t>Indicates that the student was absent.</t>
  </si>
  <si>
    <t>The student was present, but scored a real zero.</t>
  </si>
  <si>
    <t>11L-4423</t>
  </si>
  <si>
    <t>11L-4456</t>
  </si>
  <si>
    <t>12L-4061</t>
  </si>
  <si>
    <t>12L-4069</t>
  </si>
  <si>
    <t>12L-4073</t>
  </si>
  <si>
    <t>12L-4082</t>
  </si>
  <si>
    <t>12L-4085</t>
  </si>
  <si>
    <t>12L-4155</t>
  </si>
  <si>
    <t>12L-4248</t>
  </si>
  <si>
    <t>12L-4259</t>
  </si>
  <si>
    <t>12L-4320</t>
  </si>
  <si>
    <t>12L-5541</t>
  </si>
  <si>
    <t>12L-5542</t>
  </si>
  <si>
    <t>13L-4027</t>
  </si>
  <si>
    <t>13L-4040</t>
  </si>
  <si>
    <t>13L-4045</t>
  </si>
  <si>
    <t>13L-4053</t>
  </si>
  <si>
    <t>13L-4056</t>
  </si>
  <si>
    <t>13L-4073</t>
  </si>
  <si>
    <t>13L-4077</t>
  </si>
  <si>
    <t>13L-4086</t>
  </si>
  <si>
    <t>13L-4101</t>
  </si>
  <si>
    <t>13L-4115</t>
  </si>
  <si>
    <t>13L-4140</t>
  </si>
  <si>
    <t>13L-4141</t>
  </si>
  <si>
    <t>13L-4191</t>
  </si>
  <si>
    <t>13L-4203</t>
  </si>
  <si>
    <t>13L-4206</t>
  </si>
  <si>
    <t>13L-4224</t>
  </si>
  <si>
    <t>13L-4273</t>
  </si>
  <si>
    <t>13L-4292</t>
  </si>
  <si>
    <t>13L-4310</t>
  </si>
  <si>
    <t>13L-4326</t>
  </si>
  <si>
    <t>13L-5865</t>
  </si>
  <si>
    <t>13L-5866</t>
  </si>
  <si>
    <t>13L-5869</t>
  </si>
  <si>
    <t>13L-5888</t>
  </si>
  <si>
    <t>13L-5892</t>
  </si>
  <si>
    <t>Zohab Saud</t>
  </si>
  <si>
    <t>Ali Zain Kharal</t>
  </si>
  <si>
    <t>Usman Riaz</t>
  </si>
  <si>
    <t>Muneeb Hanif</t>
  </si>
  <si>
    <t>Hafiz Momin Bin Shahid</t>
  </si>
  <si>
    <t>Muhammad Haris Zaheer</t>
  </si>
  <si>
    <t>Ghulam Abbas</t>
  </si>
  <si>
    <t>Ali Akbar</t>
  </si>
  <si>
    <t>Zain Iftikhar</t>
  </si>
  <si>
    <t>Omer Saeed Rawn</t>
  </si>
  <si>
    <t>Saad Salman</t>
  </si>
  <si>
    <t>Rana Muhammad Tauheed</t>
  </si>
  <si>
    <t>Zeeshan Haider Kazmi</t>
  </si>
  <si>
    <t>Umar Iqbal</t>
  </si>
  <si>
    <t>Usama Jmail</t>
  </si>
  <si>
    <t>Amman Habib</t>
  </si>
  <si>
    <t>Hira Alvi</t>
  </si>
  <si>
    <t>Farhan Asghar</t>
  </si>
  <si>
    <t>Manaal Ayub</t>
  </si>
  <si>
    <t>Afnan Nadeem Bhutta</t>
  </si>
  <si>
    <t>Sherjeel Bin Amer</t>
  </si>
  <si>
    <t>Nimra Nasir</t>
  </si>
  <si>
    <t>Durriya Arjumand</t>
  </si>
  <si>
    <t>Hamza Hafeez</t>
  </si>
  <si>
    <t>Anum Hassan</t>
  </si>
  <si>
    <t>Taimur Zahid</t>
  </si>
  <si>
    <t>Hamza  Tahir</t>
  </si>
  <si>
    <t>Muhammad Zaeem Jawad</t>
  </si>
  <si>
    <t>Umair Ali Khan</t>
  </si>
  <si>
    <t>Hamza Ahmad</t>
  </si>
  <si>
    <t>Usman Iqbal</t>
  </si>
  <si>
    <t>Ghulam Rasool</t>
  </si>
  <si>
    <t>Hamza Ali</t>
  </si>
  <si>
    <t>Anum Shahbaz</t>
  </si>
  <si>
    <t>Ahmed Sohail</t>
  </si>
  <si>
    <t>Syed Ali Aizad Kirmani</t>
  </si>
  <si>
    <t>Muhammad Musab Sohail</t>
  </si>
  <si>
    <t>Zeeshan Ashraf</t>
  </si>
  <si>
    <t>Mudassar Iqbal</t>
  </si>
  <si>
    <t>Assignment 1</t>
  </si>
  <si>
    <t>Quiz 1</t>
  </si>
  <si>
    <t>Mid1</t>
  </si>
  <si>
    <t>13L-5950</t>
  </si>
  <si>
    <t>Husnain</t>
  </si>
  <si>
    <t>Assignement 2</t>
  </si>
  <si>
    <t>quiz2</t>
  </si>
  <si>
    <t xml:space="preserve">assignment 3 </t>
  </si>
  <si>
    <t xml:space="preserve">quiz 3 </t>
  </si>
  <si>
    <t>assignemnt 4</t>
  </si>
  <si>
    <t>quiz 4</t>
  </si>
  <si>
    <t>Assignment 5</t>
  </si>
  <si>
    <t>quiz 5</t>
  </si>
  <si>
    <t>0</t>
  </si>
  <si>
    <t>14L-4350/113-4058</t>
  </si>
  <si>
    <t>Mid 2</t>
  </si>
  <si>
    <t>27.5</t>
  </si>
  <si>
    <t xml:space="preserve"> </t>
  </si>
  <si>
    <t>113-4058</t>
  </si>
  <si>
    <t>A5</t>
  </si>
  <si>
    <t>A4</t>
  </si>
  <si>
    <t>A1</t>
  </si>
  <si>
    <t>A2</t>
  </si>
  <si>
    <t xml:space="preserve">A3 </t>
  </si>
  <si>
    <t>Quiz2</t>
  </si>
  <si>
    <t xml:space="preserve">Quiz 3 </t>
  </si>
  <si>
    <t>Quiz 4</t>
  </si>
  <si>
    <t>Quiz 5</t>
  </si>
  <si>
    <t>Qtotal</t>
  </si>
  <si>
    <t>Atotal</t>
  </si>
  <si>
    <t>max</t>
  </si>
  <si>
    <t>min</t>
  </si>
  <si>
    <t>average</t>
  </si>
  <si>
    <t>Mtotal</t>
  </si>
  <si>
    <t>SemTotal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</si>
</sst>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;\-#,##0;0"/>
    <numFmt numFmtId="168" formatCode="0.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9"/>
      <color indexed="8"/>
      <name val="Arial"/>
      <family val="2"/>
    </font>
    <font>
      <sz val="9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9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168" fontId="1" fillId="0" borderId="1" xfId="1" applyNumberFormat="1" applyFont="1" applyFill="1" applyBorder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2" borderId="1" xfId="1" applyFont="1" applyFill="1" applyBorder="1" applyAlignment="1">
      <alignment horizontal="center" vertical="center" readingOrder="1"/>
    </xf>
    <xf numFmtId="49" fontId="2" fillId="2" borderId="1" xfId="1" applyNumberFormat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164" fontId="1" fillId="0" borderId="1" xfId="1" applyNumberFormat="1" applyFont="1" applyFill="1" applyBorder="1" applyAlignment="1">
      <alignment horizontal="center" vertical="center" readingOrder="1"/>
    </xf>
    <xf numFmtId="49" fontId="1" fillId="3" borderId="1" xfId="2" applyNumberFormat="1" applyFont="1" applyFill="1" applyBorder="1" applyAlignment="1">
      <alignment horizontal="center" vertical="center" readingOrder="1"/>
    </xf>
    <xf numFmtId="0" fontId="4" fillId="3" borderId="6" xfId="1" applyFont="1" applyFill="1" applyBorder="1" applyAlignment="1">
      <alignment horizontal="center" vertical="center" readingOrder="1"/>
    </xf>
    <xf numFmtId="2" fontId="5" fillId="0" borderId="7" xfId="1" applyNumberFormat="1" applyFont="1" applyBorder="1" applyAlignment="1">
      <alignment horizontal="center" vertical="center"/>
    </xf>
    <xf numFmtId="2" fontId="5" fillId="0" borderId="10" xfId="1" applyNumberFormat="1" applyFont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readingOrder="1"/>
    </xf>
    <xf numFmtId="2" fontId="5" fillId="0" borderId="1" xfId="1" applyNumberFormat="1" applyFont="1" applyBorder="1" applyAlignment="1">
      <alignment horizontal="center" vertical="center"/>
    </xf>
    <xf numFmtId="2" fontId="5" fillId="0" borderId="5" xfId="1" applyNumberFormat="1" applyFont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 readingOrder="1"/>
    </xf>
    <xf numFmtId="2" fontId="5" fillId="0" borderId="9" xfId="1" applyNumberFormat="1" applyFont="1" applyBorder="1" applyAlignment="1">
      <alignment horizontal="center" vertical="center"/>
    </xf>
    <xf numFmtId="2" fontId="5" fillId="0" borderId="11" xfId="1" applyNumberFormat="1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9" fontId="1" fillId="6" borderId="6" xfId="1" applyNumberFormat="1" applyFont="1" applyFill="1" applyBorder="1" applyAlignment="1">
      <alignment horizontal="center" vertical="center"/>
    </xf>
    <xf numFmtId="168" fontId="1" fillId="0" borderId="15" xfId="1" applyNumberFormat="1" applyFont="1" applyFill="1" applyBorder="1" applyAlignment="1">
      <alignment horizontal="center" vertical="center"/>
    </xf>
    <xf numFmtId="0" fontId="1" fillId="0" borderId="19" xfId="1" applyFont="1" applyFill="1" applyBorder="1" applyAlignment="1">
      <alignment vertical="center"/>
    </xf>
    <xf numFmtId="0" fontId="1" fillId="0" borderId="13" xfId="1" applyFont="1" applyFill="1" applyBorder="1" applyAlignment="1">
      <alignment vertical="center"/>
    </xf>
    <xf numFmtId="0" fontId="1" fillId="0" borderId="14" xfId="1" applyFont="1" applyFill="1" applyBorder="1" applyAlignment="1">
      <alignment vertical="center"/>
    </xf>
    <xf numFmtId="0" fontId="1" fillId="0" borderId="16" xfId="1" applyFont="1" applyFill="1" applyBorder="1" applyAlignment="1">
      <alignment vertical="center"/>
    </xf>
    <xf numFmtId="0" fontId="1" fillId="0" borderId="17" xfId="1" applyFont="1" applyFill="1" applyBorder="1" applyAlignment="1">
      <alignment vertical="center"/>
    </xf>
    <xf numFmtId="0" fontId="1" fillId="0" borderId="18" xfId="1" applyFont="1" applyFill="1" applyBorder="1" applyAlignment="1">
      <alignment vertical="center"/>
    </xf>
    <xf numFmtId="49" fontId="1" fillId="0" borderId="8" xfId="1" applyNumberFormat="1" applyFont="1" applyFill="1" applyBorder="1" applyAlignment="1">
      <alignment horizontal="center" vertical="center"/>
    </xf>
    <xf numFmtId="168" fontId="1" fillId="0" borderId="20" xfId="1" applyNumberFormat="1" applyFont="1" applyFill="1" applyBorder="1" applyAlignment="1">
      <alignment horizontal="center" vertical="center"/>
    </xf>
    <xf numFmtId="2" fontId="1" fillId="0" borderId="15" xfId="1" applyNumberFormat="1" applyFont="1" applyFill="1" applyBorder="1" applyAlignment="1">
      <alignment horizontal="center" vertical="center"/>
    </xf>
    <xf numFmtId="2" fontId="1" fillId="0" borderId="20" xfId="1" applyNumberFormat="1" applyFont="1" applyFill="1" applyBorder="1" applyAlignment="1">
      <alignment horizontal="center" vertical="center"/>
    </xf>
    <xf numFmtId="168" fontId="1" fillId="0" borderId="12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vertical="top"/>
    </xf>
    <xf numFmtId="0" fontId="10" fillId="0" borderId="0" xfId="0" applyFont="1"/>
    <xf numFmtId="49" fontId="0" fillId="6" borderId="6" xfId="1" applyNumberFormat="1" applyFont="1" applyFill="1" applyBorder="1" applyAlignment="1">
      <alignment horizontal="center" vertical="center"/>
    </xf>
    <xf numFmtId="0" fontId="10" fillId="8" borderId="0" xfId="0" applyFont="1" applyFill="1"/>
    <xf numFmtId="0" fontId="0" fillId="7" borderId="0" xfId="0" applyFill="1"/>
    <xf numFmtId="49" fontId="1" fillId="7" borderId="6" xfId="1" applyNumberFormat="1" applyFont="1" applyFill="1" applyBorder="1" applyAlignment="1">
      <alignment horizontal="center" vertical="center"/>
    </xf>
    <xf numFmtId="49" fontId="1" fillId="0" borderId="0" xfId="1" applyNumberFormat="1" applyFont="1" applyAlignment="1">
      <alignment horizontal="left" vertical="center"/>
    </xf>
    <xf numFmtId="164" fontId="1" fillId="0" borderId="1" xfId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0" fillId="7" borderId="0" xfId="0" applyFont="1" applyFill="1" applyAlignment="1">
      <alignment horizontal="left"/>
    </xf>
    <xf numFmtId="49" fontId="1" fillId="6" borderId="6" xfId="1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8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0" xfId="0" applyFill="1"/>
    <xf numFmtId="49" fontId="1" fillId="0" borderId="6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4" fontId="0" fillId="0" borderId="0" xfId="0" applyNumberFormat="1"/>
    <xf numFmtId="4" fontId="0" fillId="0" borderId="0" xfId="0" applyNumberFormat="1" applyFill="1"/>
    <xf numFmtId="4" fontId="0" fillId="0" borderId="1" xfId="0" applyNumberFormat="1" applyBorder="1" applyAlignment="1">
      <alignment vertical="top"/>
    </xf>
    <xf numFmtId="2" fontId="1" fillId="0" borderId="0" xfId="1" applyNumberFormat="1" applyFont="1" applyAlignment="1">
      <alignment horizontal="left" vertical="center"/>
    </xf>
    <xf numFmtId="2" fontId="0" fillId="0" borderId="0" xfId="0" applyNumberFormat="1" applyFill="1" applyAlignment="1">
      <alignment horizontal="left"/>
    </xf>
    <xf numFmtId="2" fontId="0" fillId="0" borderId="1" xfId="0" applyNumberFormat="1" applyBorder="1" applyAlignment="1">
      <alignment vertical="top"/>
    </xf>
    <xf numFmtId="2" fontId="0" fillId="0" borderId="0" xfId="0" applyNumberFormat="1"/>
    <xf numFmtId="0" fontId="2" fillId="9" borderId="1" xfId="1" applyFont="1" applyFill="1" applyBorder="1" applyAlignment="1">
      <alignment horizontal="left" vertical="center"/>
    </xf>
    <xf numFmtId="49" fontId="2" fillId="9" borderId="1" xfId="1" applyNumberFormat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left" vertical="center"/>
    </xf>
    <xf numFmtId="2" fontId="2" fillId="5" borderId="1" xfId="1" applyNumberFormat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/>
    </xf>
    <xf numFmtId="164" fontId="1" fillId="0" borderId="3" xfId="1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top"/>
    </xf>
    <xf numFmtId="4" fontId="2" fillId="5" borderId="1" xfId="1" applyNumberFormat="1" applyFont="1" applyFill="1" applyBorder="1" applyAlignment="1">
      <alignment horizontal="left" vertical="center"/>
    </xf>
    <xf numFmtId="4" fontId="0" fillId="5" borderId="1" xfId="0" applyNumberFormat="1" applyFill="1" applyBorder="1"/>
    <xf numFmtId="2" fontId="2" fillId="5" borderId="1" xfId="0" applyNumberFormat="1" applyFont="1" applyFill="1" applyBorder="1"/>
    <xf numFmtId="0" fontId="2" fillId="5" borderId="1" xfId="0" applyFont="1" applyFill="1" applyBorder="1"/>
  </cellXfs>
  <cellStyles count="38">
    <cellStyle name="Comma 2" xfId="2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Normal" xfId="0" builtinId="0"/>
    <cellStyle name="Normal 2" xfId="1"/>
    <cellStyle name="Normal 2 2" xfId="3"/>
    <cellStyle name="Style 1" xfId="4"/>
    <cellStyle name="TableStyleLight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workbookViewId="0">
      <selection activeCell="R2" sqref="R2"/>
    </sheetView>
  </sheetViews>
  <sheetFormatPr defaultRowHeight="13.2" x14ac:dyDescent="0.25"/>
  <cols>
    <col min="1" max="1" width="3.5546875" customWidth="1"/>
    <col min="3" max="3" width="17.88671875" customWidth="1"/>
    <col min="4" max="8" width="8.44140625" customWidth="1"/>
    <col min="9" max="9" width="7.109375" style="60" customWidth="1"/>
    <col min="10" max="14" width="7.77734375" customWidth="1"/>
    <col min="15" max="15" width="7.88671875" style="54" customWidth="1"/>
    <col min="16" max="17" width="8" style="1" customWidth="1"/>
    <col min="18" max="18" width="8.88671875" style="60"/>
  </cols>
  <sheetData>
    <row r="1" spans="1:19" x14ac:dyDescent="0.25">
      <c r="A1" s="2"/>
      <c r="B1" s="42"/>
      <c r="C1" s="2"/>
      <c r="D1" s="2"/>
      <c r="E1" s="2"/>
      <c r="F1" s="2"/>
      <c r="G1" s="2"/>
      <c r="H1" s="2"/>
      <c r="I1" s="57"/>
      <c r="J1" s="2"/>
      <c r="K1" s="2"/>
      <c r="L1" s="2"/>
      <c r="M1" s="2"/>
      <c r="N1" s="2"/>
    </row>
    <row r="2" spans="1:19" x14ac:dyDescent="0.25">
      <c r="A2" s="61" t="s">
        <v>0</v>
      </c>
      <c r="B2" s="62" t="s">
        <v>1</v>
      </c>
      <c r="C2" s="61" t="s">
        <v>2</v>
      </c>
      <c r="D2" s="63" t="s">
        <v>87</v>
      </c>
      <c r="E2" s="63" t="s">
        <v>110</v>
      </c>
      <c r="F2" s="63" t="s">
        <v>111</v>
      </c>
      <c r="G2" s="63" t="s">
        <v>112</v>
      </c>
      <c r="H2" s="63" t="s">
        <v>113</v>
      </c>
      <c r="I2" s="64" t="s">
        <v>114</v>
      </c>
      <c r="J2" s="63" t="s">
        <v>107</v>
      </c>
      <c r="K2" s="63" t="s">
        <v>108</v>
      </c>
      <c r="L2" s="63" t="s">
        <v>109</v>
      </c>
      <c r="M2" s="63" t="s">
        <v>106</v>
      </c>
      <c r="N2" s="63" t="s">
        <v>105</v>
      </c>
      <c r="O2" s="68" t="s">
        <v>115</v>
      </c>
      <c r="P2" s="65" t="s">
        <v>88</v>
      </c>
      <c r="Q2" s="65" t="s">
        <v>101</v>
      </c>
      <c r="R2" s="70" t="s">
        <v>119</v>
      </c>
      <c r="S2" s="71" t="s">
        <v>120</v>
      </c>
    </row>
    <row r="3" spans="1:19" x14ac:dyDescent="0.25">
      <c r="A3" s="61" t="s">
        <v>103</v>
      </c>
      <c r="B3" s="62"/>
      <c r="C3" s="61"/>
      <c r="D3" s="63">
        <v>15</v>
      </c>
      <c r="E3" s="63">
        <v>10</v>
      </c>
      <c r="F3" s="63">
        <v>10</v>
      </c>
      <c r="G3" s="63">
        <v>10</v>
      </c>
      <c r="H3" s="63">
        <v>10</v>
      </c>
      <c r="I3" s="64"/>
      <c r="J3" s="63">
        <v>35</v>
      </c>
      <c r="K3" s="63">
        <v>103</v>
      </c>
      <c r="L3" s="63">
        <v>110</v>
      </c>
      <c r="M3" s="63">
        <v>65</v>
      </c>
      <c r="N3" s="63">
        <v>40</v>
      </c>
      <c r="O3" s="69"/>
      <c r="P3" s="65">
        <v>35</v>
      </c>
      <c r="Q3" s="65">
        <v>50</v>
      </c>
      <c r="R3" s="70"/>
      <c r="S3" s="71">
        <v>50</v>
      </c>
    </row>
    <row r="4" spans="1:19" ht="16.2" thickBot="1" x14ac:dyDescent="0.35">
      <c r="A4" s="66">
        <v>1</v>
      </c>
      <c r="B4" s="35" t="s">
        <v>9</v>
      </c>
      <c r="C4" s="67" t="s">
        <v>47</v>
      </c>
      <c r="D4" s="45">
        <v>15</v>
      </c>
      <c r="E4" s="45">
        <v>8</v>
      </c>
      <c r="F4" s="45">
        <v>3</v>
      </c>
      <c r="G4" s="45">
        <v>2</v>
      </c>
      <c r="H4" s="45">
        <v>8</v>
      </c>
      <c r="I4" s="58">
        <f>((D4/$D$3)*2.5+(E4/$E$3)*2.5+(F4/$F$3)*2.5+(G4/$G$3)*2.5+(H4/$H$3)*2.5)-MIN((D4/$D$3)*2.5,(E4/$E$3)*2.5,(F4/$F$3)*2.5,(G4/$G$3)*2.5,(H4/$H$3)*2.5)</f>
        <v>7.25</v>
      </c>
      <c r="J4" s="45">
        <v>30.5</v>
      </c>
      <c r="K4" s="45">
        <v>72</v>
      </c>
      <c r="L4" s="46">
        <v>74</v>
      </c>
      <c r="M4" s="45">
        <v>39</v>
      </c>
      <c r="N4" s="45">
        <v>28</v>
      </c>
      <c r="O4" s="55">
        <f>(J4/$J$3)*2+(K4/$K$3)*2+(L4/$L$3)*2+(M4/$M$3)*2+(N4/$N$3)*2</f>
        <v>7.0863699407388729</v>
      </c>
      <c r="P4" s="51">
        <v>25.5</v>
      </c>
      <c r="Q4" s="51">
        <v>39.5</v>
      </c>
      <c r="R4" s="60">
        <f>(P4/$P$3)*15+(Q4/$Q$3)*15</f>
        <v>22.778571428571432</v>
      </c>
      <c r="S4" s="60">
        <f>I4+O4+R4</f>
        <v>37.114941369310301</v>
      </c>
    </row>
    <row r="5" spans="1:19" ht="15.6" x14ac:dyDescent="0.3">
      <c r="A5" s="43">
        <v>2</v>
      </c>
      <c r="B5" s="35" t="s">
        <v>10</v>
      </c>
      <c r="C5" s="44" t="s">
        <v>48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58">
        <f t="shared" ref="I5:I43" si="0">((D5/$D$3)*2.5+(E5/$E$3)*2.5+(F5/$F$3)*2.5+(G5/$G$3)*2.5+(H5/$H$3)*2.5)-MIN((D5/$D$3)*2.5,(E5/$E$3)*2.5,(F5/$F$3)*2.5,(G5/$G$3)*2.5,(H5/$H$3)*2.5)</f>
        <v>0</v>
      </c>
      <c r="J5" s="47">
        <v>0</v>
      </c>
      <c r="K5" s="47">
        <v>0</v>
      </c>
      <c r="L5" s="48">
        <v>34</v>
      </c>
      <c r="M5" s="47">
        <v>0</v>
      </c>
      <c r="N5" s="47">
        <v>0</v>
      </c>
      <c r="O5" s="55">
        <f t="shared" ref="O5:O43" si="1">(J5/$J$3)*2+(K5/$K$3)*2+(L5/$L$3)*2+(M5/$M$3)*2+(N5/$N$3)*2</f>
        <v>0.61818181818181817</v>
      </c>
      <c r="P5" s="52">
        <v>0</v>
      </c>
      <c r="Q5" s="51"/>
      <c r="R5" s="60">
        <f t="shared" ref="R5:R43" si="2">(P5/$P$3)*15+(Q5/$Q$3)*15</f>
        <v>0</v>
      </c>
      <c r="S5" s="60">
        <f t="shared" ref="S5:S43" si="3">I5+O5+R5</f>
        <v>0.61818181818181817</v>
      </c>
    </row>
    <row r="6" spans="1:19" ht="15.6" x14ac:dyDescent="0.3">
      <c r="A6" s="43">
        <v>3</v>
      </c>
      <c r="B6" s="35" t="s">
        <v>11</v>
      </c>
      <c r="C6" s="44" t="s">
        <v>49</v>
      </c>
      <c r="D6" s="45">
        <v>15</v>
      </c>
      <c r="E6" s="45">
        <v>9</v>
      </c>
      <c r="F6" s="45">
        <v>2.5</v>
      </c>
      <c r="G6" s="45">
        <v>6</v>
      </c>
      <c r="H6" s="45">
        <v>7</v>
      </c>
      <c r="I6" s="58">
        <f t="shared" si="0"/>
        <v>8</v>
      </c>
      <c r="J6" s="45">
        <v>25</v>
      </c>
      <c r="K6" s="45">
        <v>51.5</v>
      </c>
      <c r="L6" s="48">
        <v>49</v>
      </c>
      <c r="M6" s="45">
        <v>36</v>
      </c>
      <c r="N6" s="45">
        <v>26</v>
      </c>
      <c r="O6" s="55">
        <f t="shared" si="1"/>
        <v>5.7271728271728266</v>
      </c>
      <c r="P6" s="51">
        <v>30</v>
      </c>
      <c r="Q6" s="51">
        <f>8.5+4.5</f>
        <v>13</v>
      </c>
      <c r="R6" s="60">
        <f t="shared" si="2"/>
        <v>16.757142857142856</v>
      </c>
      <c r="S6" s="60">
        <f t="shared" si="3"/>
        <v>30.484315684315682</v>
      </c>
    </row>
    <row r="7" spans="1:19" ht="15.6" x14ac:dyDescent="0.3">
      <c r="A7" s="43">
        <v>4</v>
      </c>
      <c r="B7" s="35" t="s">
        <v>12</v>
      </c>
      <c r="C7" s="44" t="s">
        <v>50</v>
      </c>
      <c r="D7" s="45">
        <v>15</v>
      </c>
      <c r="E7" s="45">
        <v>7</v>
      </c>
      <c r="F7" s="45">
        <v>5</v>
      </c>
      <c r="G7" s="50">
        <v>4</v>
      </c>
      <c r="H7" s="45">
        <v>7</v>
      </c>
      <c r="I7" s="58">
        <f t="shared" si="0"/>
        <v>7.25</v>
      </c>
      <c r="J7" s="45">
        <v>29</v>
      </c>
      <c r="K7" s="45">
        <v>64</v>
      </c>
      <c r="L7" s="49">
        <v>74.5</v>
      </c>
      <c r="M7" s="45">
        <v>45</v>
      </c>
      <c r="N7" s="45">
        <v>27</v>
      </c>
      <c r="O7" s="55">
        <f t="shared" si="1"/>
        <v>6.9890221429056378</v>
      </c>
      <c r="P7" s="51">
        <v>13.5</v>
      </c>
      <c r="Q7" s="51">
        <v>6.5</v>
      </c>
      <c r="R7" s="60">
        <f t="shared" si="2"/>
        <v>7.7357142857142858</v>
      </c>
      <c r="S7" s="60">
        <f t="shared" si="3"/>
        <v>21.974736428619924</v>
      </c>
    </row>
    <row r="8" spans="1:19" ht="16.2" thickBot="1" x14ac:dyDescent="0.35">
      <c r="A8" s="43">
        <v>5</v>
      </c>
      <c r="B8" s="35" t="s">
        <v>13</v>
      </c>
      <c r="C8" s="44" t="s">
        <v>51</v>
      </c>
      <c r="D8" s="45">
        <v>15</v>
      </c>
      <c r="E8" s="45">
        <v>9</v>
      </c>
      <c r="F8" s="45">
        <v>3.5</v>
      </c>
      <c r="G8" s="45">
        <v>5</v>
      </c>
      <c r="H8" s="45">
        <v>7</v>
      </c>
      <c r="I8" s="58">
        <f t="shared" si="0"/>
        <v>7.75</v>
      </c>
      <c r="J8" s="45">
        <v>29</v>
      </c>
      <c r="K8" s="45">
        <v>55</v>
      </c>
      <c r="L8" s="49">
        <v>64</v>
      </c>
      <c r="M8" s="45">
        <v>39</v>
      </c>
      <c r="N8" s="45">
        <v>24</v>
      </c>
      <c r="O8" s="55">
        <f t="shared" si="1"/>
        <v>6.2887403858277642</v>
      </c>
      <c r="P8" s="51">
        <v>15</v>
      </c>
      <c r="Q8" s="51">
        <v>24</v>
      </c>
      <c r="R8" s="60">
        <f t="shared" si="2"/>
        <v>13.628571428571426</v>
      </c>
      <c r="S8" s="60">
        <f t="shared" si="3"/>
        <v>27.667311814399191</v>
      </c>
    </row>
    <row r="9" spans="1:19" ht="13.8" thickBot="1" x14ac:dyDescent="0.3">
      <c r="A9" s="43">
        <v>6</v>
      </c>
      <c r="B9" s="35" t="s">
        <v>14</v>
      </c>
      <c r="C9" s="44" t="s">
        <v>52</v>
      </c>
      <c r="D9" s="45">
        <v>12</v>
      </c>
      <c r="E9" s="45">
        <v>4</v>
      </c>
      <c r="F9" s="47">
        <v>0</v>
      </c>
      <c r="G9" s="45">
        <v>1</v>
      </c>
      <c r="H9" s="45">
        <v>7</v>
      </c>
      <c r="I9" s="58">
        <f t="shared" si="0"/>
        <v>5</v>
      </c>
      <c r="J9" s="45">
        <v>17</v>
      </c>
      <c r="K9" s="45">
        <v>21</v>
      </c>
      <c r="L9" s="47">
        <v>0</v>
      </c>
      <c r="M9" s="45">
        <v>14</v>
      </c>
      <c r="N9" s="45">
        <v>10</v>
      </c>
      <c r="O9" s="55">
        <f t="shared" si="1"/>
        <v>2.3099647924890645</v>
      </c>
      <c r="P9" s="52" t="s">
        <v>102</v>
      </c>
      <c r="Q9" s="51">
        <v>19</v>
      </c>
      <c r="R9" s="60">
        <f t="shared" si="2"/>
        <v>17.485714285714284</v>
      </c>
      <c r="S9" s="60">
        <f t="shared" si="3"/>
        <v>24.795679078203349</v>
      </c>
    </row>
    <row r="10" spans="1:19" ht="13.8" thickBot="1" x14ac:dyDescent="0.3">
      <c r="A10" s="43">
        <v>7</v>
      </c>
      <c r="B10" s="35" t="s">
        <v>15</v>
      </c>
      <c r="C10" s="44" t="s">
        <v>53</v>
      </c>
      <c r="D10" s="47">
        <v>0</v>
      </c>
      <c r="E10" s="45">
        <v>9</v>
      </c>
      <c r="F10" s="47">
        <v>0</v>
      </c>
      <c r="G10" s="45">
        <v>9</v>
      </c>
      <c r="H10" s="45">
        <v>6</v>
      </c>
      <c r="I10" s="58">
        <f t="shared" si="0"/>
        <v>6</v>
      </c>
      <c r="J10" s="45">
        <v>31</v>
      </c>
      <c r="K10" s="45">
        <v>82</v>
      </c>
      <c r="L10" s="47">
        <v>0</v>
      </c>
      <c r="M10" s="45">
        <v>23</v>
      </c>
      <c r="N10" s="45">
        <v>17</v>
      </c>
      <c r="O10" s="55">
        <f t="shared" si="1"/>
        <v>4.9213538888296169</v>
      </c>
      <c r="P10" s="51">
        <v>32.5</v>
      </c>
      <c r="Q10" s="51">
        <v>30.5</v>
      </c>
      <c r="R10" s="60">
        <f t="shared" si="2"/>
        <v>23.078571428571429</v>
      </c>
      <c r="S10" s="60">
        <f t="shared" si="3"/>
        <v>33.999925317401051</v>
      </c>
    </row>
    <row r="11" spans="1:19" x14ac:dyDescent="0.25">
      <c r="A11" s="43">
        <v>8</v>
      </c>
      <c r="B11" s="35" t="s">
        <v>16</v>
      </c>
      <c r="C11" s="44" t="s">
        <v>54</v>
      </c>
      <c r="D11" s="45">
        <v>9</v>
      </c>
      <c r="E11" s="45">
        <v>0</v>
      </c>
      <c r="F11" s="45">
        <v>3</v>
      </c>
      <c r="G11" s="47">
        <v>0</v>
      </c>
      <c r="H11" s="47">
        <v>0</v>
      </c>
      <c r="I11" s="58">
        <f t="shared" si="0"/>
        <v>2.25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55">
        <f t="shared" si="1"/>
        <v>0</v>
      </c>
      <c r="P11" s="51">
        <v>8.5</v>
      </c>
      <c r="Q11" s="51">
        <v>4</v>
      </c>
      <c r="R11" s="60">
        <f t="shared" si="2"/>
        <v>4.8428571428571425</v>
      </c>
      <c r="S11" s="60">
        <f t="shared" si="3"/>
        <v>7.0928571428571425</v>
      </c>
    </row>
    <row r="12" spans="1:19" ht="15.6" x14ac:dyDescent="0.3">
      <c r="A12" s="43">
        <v>9</v>
      </c>
      <c r="B12" s="35" t="s">
        <v>17</v>
      </c>
      <c r="C12" s="44" t="s">
        <v>55</v>
      </c>
      <c r="D12" s="45">
        <v>15</v>
      </c>
      <c r="E12" s="45">
        <v>4</v>
      </c>
      <c r="F12" s="45">
        <v>3.5</v>
      </c>
      <c r="G12" s="45">
        <v>2</v>
      </c>
      <c r="H12" s="45">
        <v>7</v>
      </c>
      <c r="I12" s="58">
        <f t="shared" si="0"/>
        <v>6.125</v>
      </c>
      <c r="J12" s="45">
        <v>24.5</v>
      </c>
      <c r="K12" s="45">
        <v>49.5</v>
      </c>
      <c r="L12" s="48">
        <v>68</v>
      </c>
      <c r="M12" s="45">
        <v>48</v>
      </c>
      <c r="N12" s="45">
        <v>26</v>
      </c>
      <c r="O12" s="55">
        <f t="shared" si="1"/>
        <v>6.3744517618304029</v>
      </c>
      <c r="P12" s="51">
        <v>15</v>
      </c>
      <c r="Q12" s="51">
        <v>10</v>
      </c>
      <c r="R12" s="60">
        <f t="shared" si="2"/>
        <v>9.428571428571427</v>
      </c>
      <c r="S12" s="60">
        <f t="shared" si="3"/>
        <v>21.928023190401831</v>
      </c>
    </row>
    <row r="13" spans="1:19" ht="16.2" thickBot="1" x14ac:dyDescent="0.35">
      <c r="A13" s="43">
        <v>10</v>
      </c>
      <c r="B13" s="35" t="s">
        <v>18</v>
      </c>
      <c r="C13" s="44" t="s">
        <v>56</v>
      </c>
      <c r="D13" s="45">
        <v>12</v>
      </c>
      <c r="E13" s="45">
        <v>9</v>
      </c>
      <c r="F13" s="45">
        <v>4</v>
      </c>
      <c r="G13" s="45">
        <v>4</v>
      </c>
      <c r="H13" s="45">
        <v>6</v>
      </c>
      <c r="I13" s="58">
        <f t="shared" si="0"/>
        <v>6.75</v>
      </c>
      <c r="J13" s="45">
        <v>21.5</v>
      </c>
      <c r="K13" s="45">
        <v>68.5</v>
      </c>
      <c r="L13" s="48">
        <v>15</v>
      </c>
      <c r="M13" s="45">
        <v>40</v>
      </c>
      <c r="N13" s="45">
        <v>23</v>
      </c>
      <c r="O13" s="55">
        <f t="shared" si="1"/>
        <v>5.212165019446573</v>
      </c>
      <c r="P13" s="51">
        <v>26</v>
      </c>
      <c r="Q13" s="51">
        <v>9</v>
      </c>
      <c r="R13" s="60">
        <f t="shared" si="2"/>
        <v>13.842857142857142</v>
      </c>
      <c r="S13" s="60">
        <f t="shared" si="3"/>
        <v>25.805022162303715</v>
      </c>
    </row>
    <row r="14" spans="1:19" ht="15.6" x14ac:dyDescent="0.3">
      <c r="A14" s="43">
        <v>11</v>
      </c>
      <c r="B14" s="35" t="s">
        <v>19</v>
      </c>
      <c r="C14" s="44" t="s">
        <v>57</v>
      </c>
      <c r="D14" s="47">
        <v>0</v>
      </c>
      <c r="E14" s="45">
        <v>4</v>
      </c>
      <c r="F14" s="45">
        <v>3</v>
      </c>
      <c r="G14" s="45">
        <v>5</v>
      </c>
      <c r="H14" s="45">
        <v>5</v>
      </c>
      <c r="I14" s="58">
        <f t="shared" si="0"/>
        <v>4.25</v>
      </c>
      <c r="J14" s="47">
        <v>0</v>
      </c>
      <c r="K14" s="47">
        <v>0</v>
      </c>
      <c r="L14" s="48">
        <v>21</v>
      </c>
      <c r="M14" s="45">
        <v>6</v>
      </c>
      <c r="N14" s="45">
        <v>22</v>
      </c>
      <c r="O14" s="55">
        <f t="shared" si="1"/>
        <v>1.6664335664335665</v>
      </c>
      <c r="P14" s="51">
        <v>12</v>
      </c>
      <c r="Q14" s="51">
        <v>12.5</v>
      </c>
      <c r="R14" s="60">
        <f t="shared" si="2"/>
        <v>8.8928571428571423</v>
      </c>
      <c r="S14" s="60">
        <f t="shared" si="3"/>
        <v>14.809290709290709</v>
      </c>
    </row>
    <row r="15" spans="1:19" ht="16.2" thickBot="1" x14ac:dyDescent="0.35">
      <c r="A15" s="43">
        <v>12</v>
      </c>
      <c r="B15" s="35" t="s">
        <v>20</v>
      </c>
      <c r="C15" s="44" t="s">
        <v>58</v>
      </c>
      <c r="D15" s="45">
        <v>15</v>
      </c>
      <c r="E15" s="45">
        <v>2</v>
      </c>
      <c r="F15" s="45">
        <v>0.5</v>
      </c>
      <c r="G15" s="45">
        <v>10</v>
      </c>
      <c r="H15" s="45">
        <v>4</v>
      </c>
      <c r="I15" s="58">
        <f t="shared" si="0"/>
        <v>6.5</v>
      </c>
      <c r="J15" s="45">
        <v>25.5</v>
      </c>
      <c r="K15" s="45">
        <v>55</v>
      </c>
      <c r="L15" s="48">
        <v>71</v>
      </c>
      <c r="M15" s="45">
        <v>40</v>
      </c>
      <c r="N15" s="45">
        <v>30</v>
      </c>
      <c r="O15" s="55">
        <f t="shared" si="1"/>
        <v>6.5467823438697224</v>
      </c>
      <c r="P15" s="51">
        <v>17.5</v>
      </c>
      <c r="Q15" s="51">
        <v>26.5</v>
      </c>
      <c r="R15" s="60">
        <f t="shared" si="2"/>
        <v>15.45</v>
      </c>
      <c r="S15" s="60">
        <f t="shared" si="3"/>
        <v>28.496782343869722</v>
      </c>
    </row>
    <row r="16" spans="1:19" x14ac:dyDescent="0.25">
      <c r="A16" s="43">
        <v>13</v>
      </c>
      <c r="B16" s="35" t="s">
        <v>21</v>
      </c>
      <c r="C16" s="44" t="s">
        <v>59</v>
      </c>
      <c r="D16" s="45">
        <v>9</v>
      </c>
      <c r="E16" s="45">
        <v>1</v>
      </c>
      <c r="F16" s="45">
        <v>3.5</v>
      </c>
      <c r="G16" s="45">
        <v>9</v>
      </c>
      <c r="H16" s="45">
        <v>4</v>
      </c>
      <c r="I16" s="58">
        <f t="shared" si="0"/>
        <v>5.625</v>
      </c>
      <c r="J16" s="45">
        <v>18</v>
      </c>
      <c r="K16" s="45">
        <v>32</v>
      </c>
      <c r="L16" s="47">
        <v>0</v>
      </c>
      <c r="M16" s="45">
        <v>40</v>
      </c>
      <c r="N16" s="45">
        <v>33</v>
      </c>
      <c r="O16" s="55">
        <f t="shared" si="1"/>
        <v>4.5306998826416294</v>
      </c>
      <c r="P16" s="51">
        <v>21.5</v>
      </c>
      <c r="Q16" s="51">
        <v>26.5</v>
      </c>
      <c r="R16" s="60">
        <f t="shared" si="2"/>
        <v>17.164285714285715</v>
      </c>
      <c r="S16" s="60">
        <f t="shared" si="3"/>
        <v>27.319985596927346</v>
      </c>
    </row>
    <row r="17" spans="1:19" ht="16.2" thickBot="1" x14ac:dyDescent="0.35">
      <c r="A17" s="43">
        <v>14</v>
      </c>
      <c r="B17" s="35" t="s">
        <v>22</v>
      </c>
      <c r="C17" s="44" t="s">
        <v>60</v>
      </c>
      <c r="D17" s="45">
        <v>10</v>
      </c>
      <c r="E17" s="45">
        <v>3</v>
      </c>
      <c r="F17" s="45">
        <v>4</v>
      </c>
      <c r="G17" s="45">
        <v>6</v>
      </c>
      <c r="H17" s="45">
        <v>7</v>
      </c>
      <c r="I17" s="58">
        <f t="shared" si="0"/>
        <v>5.9166666666666661</v>
      </c>
      <c r="J17" s="45">
        <v>20.5</v>
      </c>
      <c r="K17" s="45">
        <v>31</v>
      </c>
      <c r="L17" s="48">
        <v>27</v>
      </c>
      <c r="M17" s="45">
        <v>43</v>
      </c>
      <c r="N17" s="45">
        <v>22</v>
      </c>
      <c r="O17" s="55">
        <f t="shared" si="1"/>
        <v>4.6873563329874006</v>
      </c>
      <c r="P17" s="51">
        <v>21.5</v>
      </c>
      <c r="Q17" s="51">
        <v>19.5</v>
      </c>
      <c r="R17" s="60">
        <f t="shared" si="2"/>
        <v>15.064285714285717</v>
      </c>
      <c r="S17" s="60">
        <f t="shared" si="3"/>
        <v>25.668308713939783</v>
      </c>
    </row>
    <row r="18" spans="1:19" ht="15.6" x14ac:dyDescent="0.3">
      <c r="A18" s="43">
        <v>15</v>
      </c>
      <c r="B18" s="35" t="s">
        <v>23</v>
      </c>
      <c r="C18" s="44" t="s">
        <v>61</v>
      </c>
      <c r="D18" s="47">
        <v>0</v>
      </c>
      <c r="E18" s="45">
        <v>10</v>
      </c>
      <c r="F18" s="45">
        <v>2</v>
      </c>
      <c r="G18" s="45">
        <v>10</v>
      </c>
      <c r="H18" s="45">
        <v>3</v>
      </c>
      <c r="I18" s="58">
        <f t="shared" si="0"/>
        <v>6.25</v>
      </c>
      <c r="J18" s="47">
        <v>0</v>
      </c>
      <c r="K18" s="47">
        <v>0</v>
      </c>
      <c r="L18" s="48">
        <v>43</v>
      </c>
      <c r="M18" s="45">
        <v>39</v>
      </c>
      <c r="N18" s="47">
        <v>0</v>
      </c>
      <c r="O18" s="55">
        <f t="shared" si="1"/>
        <v>1.9818181818181819</v>
      </c>
      <c r="P18" s="51">
        <v>25.5</v>
      </c>
      <c r="Q18" s="51">
        <v>6</v>
      </c>
      <c r="R18" s="60">
        <f t="shared" si="2"/>
        <v>12.728571428571428</v>
      </c>
      <c r="S18" s="60">
        <f t="shared" si="3"/>
        <v>20.960389610389612</v>
      </c>
    </row>
    <row r="19" spans="1:19" ht="16.2" thickBot="1" x14ac:dyDescent="0.35">
      <c r="A19" s="43">
        <v>16</v>
      </c>
      <c r="B19" s="35" t="s">
        <v>24</v>
      </c>
      <c r="C19" s="44" t="s">
        <v>62</v>
      </c>
      <c r="D19" s="45">
        <v>13</v>
      </c>
      <c r="E19" s="45">
        <v>4</v>
      </c>
      <c r="F19" s="45">
        <v>4</v>
      </c>
      <c r="G19" s="45">
        <v>4</v>
      </c>
      <c r="H19" s="45">
        <v>6</v>
      </c>
      <c r="I19" s="58">
        <f t="shared" si="0"/>
        <v>5.666666666666667</v>
      </c>
      <c r="J19" s="45">
        <v>25</v>
      </c>
      <c r="K19" s="45">
        <v>20.5</v>
      </c>
      <c r="L19" s="48">
        <v>74</v>
      </c>
      <c r="M19" s="45">
        <v>37.5</v>
      </c>
      <c r="N19" s="45">
        <v>28</v>
      </c>
      <c r="O19" s="55">
        <f t="shared" si="1"/>
        <v>5.725930380299312</v>
      </c>
      <c r="P19" s="51">
        <v>16.5</v>
      </c>
      <c r="Q19" s="51">
        <v>8.5</v>
      </c>
      <c r="R19" s="60">
        <f t="shared" si="2"/>
        <v>9.6214285714285719</v>
      </c>
      <c r="S19" s="60">
        <f t="shared" si="3"/>
        <v>21.014025618394548</v>
      </c>
    </row>
    <row r="20" spans="1:19" ht="15.6" x14ac:dyDescent="0.3">
      <c r="A20" s="43">
        <v>17</v>
      </c>
      <c r="B20" s="35" t="s">
        <v>25</v>
      </c>
      <c r="C20" s="44" t="s">
        <v>63</v>
      </c>
      <c r="D20" s="45">
        <v>14</v>
      </c>
      <c r="E20" s="47">
        <v>0</v>
      </c>
      <c r="F20" s="45">
        <v>3</v>
      </c>
      <c r="G20" s="45">
        <v>0</v>
      </c>
      <c r="H20" s="45">
        <v>6</v>
      </c>
      <c r="I20" s="58">
        <f t="shared" si="0"/>
        <v>4.5833333333333339</v>
      </c>
      <c r="J20" s="45">
        <v>29</v>
      </c>
      <c r="K20" s="45">
        <v>53</v>
      </c>
      <c r="L20" s="48">
        <v>90</v>
      </c>
      <c r="M20" s="45">
        <v>37</v>
      </c>
      <c r="N20" s="45">
        <v>22</v>
      </c>
      <c r="O20" s="55">
        <f t="shared" si="1"/>
        <v>6.5610942455602643</v>
      </c>
      <c r="P20" s="51">
        <v>20.5</v>
      </c>
      <c r="Q20" s="51">
        <v>16</v>
      </c>
      <c r="R20" s="60">
        <f t="shared" si="2"/>
        <v>13.585714285714285</v>
      </c>
      <c r="S20" s="60">
        <f t="shared" si="3"/>
        <v>24.730141864607884</v>
      </c>
    </row>
    <row r="21" spans="1:19" ht="15.6" x14ac:dyDescent="0.3">
      <c r="A21" s="43">
        <v>18</v>
      </c>
      <c r="B21" s="35" t="s">
        <v>26</v>
      </c>
      <c r="C21" s="44" t="s">
        <v>64</v>
      </c>
      <c r="D21" s="45">
        <v>10</v>
      </c>
      <c r="E21" s="45">
        <v>5</v>
      </c>
      <c r="F21" s="45">
        <v>2.5</v>
      </c>
      <c r="G21" s="45">
        <v>0</v>
      </c>
      <c r="H21" s="45">
        <v>6</v>
      </c>
      <c r="I21" s="58">
        <f t="shared" si="0"/>
        <v>5.0416666666666661</v>
      </c>
      <c r="J21" s="45">
        <v>22</v>
      </c>
      <c r="K21" s="45">
        <v>59.5</v>
      </c>
      <c r="L21" s="48">
        <v>57</v>
      </c>
      <c r="M21" s="45">
        <v>40</v>
      </c>
      <c r="N21" s="45">
        <v>23</v>
      </c>
      <c r="O21" s="55">
        <f t="shared" si="1"/>
        <v>5.8296155301009662</v>
      </c>
      <c r="P21" s="51">
        <v>23</v>
      </c>
      <c r="Q21" s="51">
        <v>9.5</v>
      </c>
      <c r="R21" s="60">
        <f t="shared" si="2"/>
        <v>12.707142857142857</v>
      </c>
      <c r="S21" s="60">
        <f t="shared" si="3"/>
        <v>23.57842505391049</v>
      </c>
    </row>
    <row r="22" spans="1:19" ht="15.6" x14ac:dyDescent="0.3">
      <c r="A22" s="43">
        <v>19</v>
      </c>
      <c r="B22" s="35" t="s">
        <v>27</v>
      </c>
      <c r="C22" s="44" t="s">
        <v>65</v>
      </c>
      <c r="D22" s="45">
        <v>15</v>
      </c>
      <c r="E22" s="45">
        <v>8</v>
      </c>
      <c r="F22" s="45">
        <v>2.5</v>
      </c>
      <c r="G22" s="45">
        <v>4</v>
      </c>
      <c r="H22" s="45">
        <v>5</v>
      </c>
      <c r="I22" s="58">
        <f t="shared" si="0"/>
        <v>6.75</v>
      </c>
      <c r="J22" s="45">
        <v>27</v>
      </c>
      <c r="K22" s="45">
        <v>82</v>
      </c>
      <c r="L22" s="48">
        <v>69</v>
      </c>
      <c r="M22" s="45">
        <v>30</v>
      </c>
      <c r="N22" s="45">
        <v>29</v>
      </c>
      <c r="O22" s="55">
        <f t="shared" si="1"/>
        <v>6.7627125301882591</v>
      </c>
      <c r="P22" s="51">
        <v>30.5</v>
      </c>
      <c r="Q22" s="51">
        <v>32</v>
      </c>
      <c r="R22" s="60">
        <f t="shared" si="2"/>
        <v>22.671428571428571</v>
      </c>
      <c r="S22" s="60">
        <f t="shared" si="3"/>
        <v>36.184141101616831</v>
      </c>
    </row>
    <row r="23" spans="1:19" ht="15.6" x14ac:dyDescent="0.3">
      <c r="A23" s="43">
        <v>20</v>
      </c>
      <c r="B23" s="35" t="s">
        <v>28</v>
      </c>
      <c r="C23" s="44" t="s">
        <v>66</v>
      </c>
      <c r="D23" s="45">
        <v>14</v>
      </c>
      <c r="E23" s="45">
        <v>8</v>
      </c>
      <c r="F23" s="45">
        <v>4</v>
      </c>
      <c r="G23" s="45">
        <v>2</v>
      </c>
      <c r="H23" s="45">
        <v>7</v>
      </c>
      <c r="I23" s="58">
        <f t="shared" si="0"/>
        <v>7.0833333333333339</v>
      </c>
      <c r="J23" s="45">
        <v>12</v>
      </c>
      <c r="K23" s="45">
        <v>78</v>
      </c>
      <c r="L23" s="48">
        <v>45</v>
      </c>
      <c r="M23" s="45">
        <v>35</v>
      </c>
      <c r="N23" s="45">
        <v>23</v>
      </c>
      <c r="O23" s="55">
        <f t="shared" si="1"/>
        <v>5.245382287615298</v>
      </c>
      <c r="P23" s="51">
        <v>16.5</v>
      </c>
      <c r="Q23" s="51">
        <v>15.5</v>
      </c>
      <c r="R23" s="60">
        <f t="shared" si="2"/>
        <v>11.721428571428572</v>
      </c>
      <c r="S23" s="60">
        <f t="shared" si="3"/>
        <v>24.050144192377203</v>
      </c>
    </row>
    <row r="24" spans="1:19" ht="15.6" x14ac:dyDescent="0.3">
      <c r="A24" s="43">
        <v>21</v>
      </c>
      <c r="B24" s="35" t="s">
        <v>29</v>
      </c>
      <c r="C24" s="44" t="s">
        <v>67</v>
      </c>
      <c r="D24" s="45">
        <v>15</v>
      </c>
      <c r="E24" s="45">
        <v>7</v>
      </c>
      <c r="F24" s="45">
        <v>2.5</v>
      </c>
      <c r="G24" s="45">
        <v>10</v>
      </c>
      <c r="H24" s="45">
        <v>8</v>
      </c>
      <c r="I24" s="58">
        <f t="shared" si="0"/>
        <v>8.75</v>
      </c>
      <c r="J24" s="45">
        <v>32</v>
      </c>
      <c r="K24" s="45">
        <v>80</v>
      </c>
      <c r="L24" s="48">
        <v>74.5</v>
      </c>
      <c r="M24" s="45">
        <v>45</v>
      </c>
      <c r="N24" s="45">
        <v>30</v>
      </c>
      <c r="O24" s="55">
        <f t="shared" si="1"/>
        <v>7.6211303259846943</v>
      </c>
      <c r="P24" s="51">
        <v>28</v>
      </c>
      <c r="Q24" s="51">
        <v>31</v>
      </c>
      <c r="R24" s="60">
        <f t="shared" si="2"/>
        <v>21.3</v>
      </c>
      <c r="S24" s="60">
        <f t="shared" si="3"/>
        <v>37.671130325984691</v>
      </c>
    </row>
    <row r="25" spans="1:19" ht="15.6" x14ac:dyDescent="0.3">
      <c r="A25" s="43">
        <v>22</v>
      </c>
      <c r="B25" s="35" t="s">
        <v>30</v>
      </c>
      <c r="C25" s="44" t="s">
        <v>68</v>
      </c>
      <c r="D25" s="45">
        <v>13</v>
      </c>
      <c r="E25" s="45">
        <v>10</v>
      </c>
      <c r="F25" s="45">
        <v>4</v>
      </c>
      <c r="G25" s="45">
        <v>4</v>
      </c>
      <c r="H25" s="45">
        <v>6</v>
      </c>
      <c r="I25" s="58">
        <f t="shared" si="0"/>
        <v>7.1666666666666679</v>
      </c>
      <c r="J25" s="45">
        <v>27</v>
      </c>
      <c r="K25" s="45">
        <v>46.5</v>
      </c>
      <c r="L25" s="48">
        <v>81</v>
      </c>
      <c r="M25" s="45">
        <v>35</v>
      </c>
      <c r="N25" s="45">
        <v>25</v>
      </c>
      <c r="O25" s="55">
        <f t="shared" si="1"/>
        <v>6.2454201138667154</v>
      </c>
      <c r="P25" s="51">
        <v>23.5</v>
      </c>
      <c r="Q25" s="51">
        <v>14</v>
      </c>
      <c r="R25" s="60">
        <f t="shared" si="2"/>
        <v>14.271428571428572</v>
      </c>
      <c r="S25" s="60">
        <f t="shared" si="3"/>
        <v>27.683515351961955</v>
      </c>
    </row>
    <row r="26" spans="1:19" ht="15.6" x14ac:dyDescent="0.3">
      <c r="A26" s="43">
        <v>23</v>
      </c>
      <c r="B26" s="35" t="s">
        <v>31</v>
      </c>
      <c r="C26" s="44" t="s">
        <v>69</v>
      </c>
      <c r="D26" s="45">
        <v>10</v>
      </c>
      <c r="E26" s="45">
        <v>7</v>
      </c>
      <c r="F26" s="45">
        <v>2.5</v>
      </c>
      <c r="G26" s="45">
        <v>1</v>
      </c>
      <c r="H26" s="45">
        <v>6</v>
      </c>
      <c r="I26" s="58">
        <f t="shared" si="0"/>
        <v>5.5416666666666661</v>
      </c>
      <c r="J26" s="45">
        <v>28</v>
      </c>
      <c r="K26" s="45">
        <v>38</v>
      </c>
      <c r="L26" s="48">
        <v>43</v>
      </c>
      <c r="M26" s="45">
        <v>35</v>
      </c>
      <c r="N26" s="45">
        <v>24</v>
      </c>
      <c r="O26" s="55">
        <f t="shared" si="1"/>
        <v>5.3966053364111621</v>
      </c>
      <c r="P26" s="51">
        <v>23.5</v>
      </c>
      <c r="Q26" s="51">
        <v>21</v>
      </c>
      <c r="R26" s="60">
        <f t="shared" si="2"/>
        <v>16.37142857142857</v>
      </c>
      <c r="S26" s="60">
        <f t="shared" si="3"/>
        <v>27.309700574506397</v>
      </c>
    </row>
    <row r="27" spans="1:19" ht="15.6" x14ac:dyDescent="0.3">
      <c r="A27" s="43">
        <v>24</v>
      </c>
      <c r="B27" s="35" t="s">
        <v>32</v>
      </c>
      <c r="C27" s="44" t="s">
        <v>70</v>
      </c>
      <c r="D27" s="45">
        <v>13</v>
      </c>
      <c r="E27" s="45">
        <v>5</v>
      </c>
      <c r="F27" s="45">
        <v>4</v>
      </c>
      <c r="G27" s="45">
        <v>5</v>
      </c>
      <c r="H27" s="45">
        <v>7</v>
      </c>
      <c r="I27" s="58">
        <f t="shared" si="0"/>
        <v>6.416666666666667</v>
      </c>
      <c r="J27" s="45">
        <v>27</v>
      </c>
      <c r="K27" s="45">
        <v>72.5</v>
      </c>
      <c r="L27" s="48">
        <v>84</v>
      </c>
      <c r="M27" s="45">
        <v>36</v>
      </c>
      <c r="N27" s="45">
        <v>25</v>
      </c>
      <c r="O27" s="55">
        <f t="shared" si="1"/>
        <v>6.8355891681134402</v>
      </c>
      <c r="P27">
        <v>21</v>
      </c>
      <c r="Q27">
        <v>32</v>
      </c>
      <c r="R27" s="60">
        <f t="shared" si="2"/>
        <v>18.600000000000001</v>
      </c>
      <c r="S27" s="60">
        <f t="shared" si="3"/>
        <v>31.852255834780109</v>
      </c>
    </row>
    <row r="28" spans="1:19" ht="15.6" x14ac:dyDescent="0.3">
      <c r="A28" s="43">
        <v>25</v>
      </c>
      <c r="B28" s="35" t="s">
        <v>33</v>
      </c>
      <c r="C28" s="44" t="s">
        <v>71</v>
      </c>
      <c r="D28" s="45">
        <v>9</v>
      </c>
      <c r="E28" s="45">
        <v>8</v>
      </c>
      <c r="F28" s="45">
        <v>3</v>
      </c>
      <c r="G28" s="45">
        <v>7</v>
      </c>
      <c r="H28" s="45">
        <v>8</v>
      </c>
      <c r="I28" s="58">
        <f t="shared" si="0"/>
        <v>7.25</v>
      </c>
      <c r="J28" s="45">
        <v>17</v>
      </c>
      <c r="K28" s="45">
        <v>58.5</v>
      </c>
      <c r="L28" s="48">
        <v>72</v>
      </c>
      <c r="M28" s="45">
        <v>44</v>
      </c>
      <c r="N28" s="45">
        <v>27</v>
      </c>
      <c r="O28" s="55">
        <f t="shared" si="1"/>
        <v>6.1202879644627224</v>
      </c>
      <c r="P28">
        <v>8</v>
      </c>
      <c r="Q28">
        <v>37.5</v>
      </c>
      <c r="R28" s="60">
        <f t="shared" si="2"/>
        <v>14.678571428571429</v>
      </c>
      <c r="S28" s="60">
        <f t="shared" si="3"/>
        <v>28.048859393034149</v>
      </c>
    </row>
    <row r="29" spans="1:19" ht="15.6" x14ac:dyDescent="0.3">
      <c r="A29" s="43">
        <v>26</v>
      </c>
      <c r="B29" s="35" t="s">
        <v>34</v>
      </c>
      <c r="C29" s="44" t="s">
        <v>72</v>
      </c>
      <c r="D29" s="45">
        <v>15</v>
      </c>
      <c r="E29" s="45">
        <v>4</v>
      </c>
      <c r="F29" s="45">
        <v>5.5</v>
      </c>
      <c r="G29" s="45">
        <v>7</v>
      </c>
      <c r="H29" s="45">
        <v>5</v>
      </c>
      <c r="I29" s="58">
        <f t="shared" si="0"/>
        <v>6.875</v>
      </c>
      <c r="J29" s="45">
        <v>27</v>
      </c>
      <c r="K29" s="45">
        <v>45.5</v>
      </c>
      <c r="L29" s="48">
        <v>22</v>
      </c>
      <c r="M29" s="45">
        <v>21</v>
      </c>
      <c r="N29" s="45">
        <v>24</v>
      </c>
      <c r="O29" s="55">
        <f t="shared" si="1"/>
        <v>4.6725061346420569</v>
      </c>
      <c r="P29">
        <v>28.5</v>
      </c>
      <c r="Q29"/>
      <c r="R29" s="60">
        <f t="shared" si="2"/>
        <v>12.214285714285714</v>
      </c>
      <c r="S29" s="60">
        <f t="shared" si="3"/>
        <v>23.761791848927771</v>
      </c>
    </row>
    <row r="30" spans="1:19" ht="15.6" x14ac:dyDescent="0.3">
      <c r="A30" s="43">
        <v>27</v>
      </c>
      <c r="B30" s="35" t="s">
        <v>35</v>
      </c>
      <c r="C30" s="44" t="s">
        <v>73</v>
      </c>
      <c r="D30" s="45">
        <v>15</v>
      </c>
      <c r="E30" s="45">
        <v>9</v>
      </c>
      <c r="F30" s="45">
        <v>3</v>
      </c>
      <c r="G30" s="45">
        <v>4</v>
      </c>
      <c r="H30" s="45">
        <v>5</v>
      </c>
      <c r="I30" s="58">
        <f t="shared" si="0"/>
        <v>7</v>
      </c>
      <c r="J30" s="45">
        <v>28</v>
      </c>
      <c r="K30" s="45">
        <v>83</v>
      </c>
      <c r="L30" s="48">
        <v>92</v>
      </c>
      <c r="M30" s="45">
        <v>39.5</v>
      </c>
      <c r="N30" s="45">
        <v>29</v>
      </c>
      <c r="O30" s="55">
        <f t="shared" si="1"/>
        <v>7.5497623735487815</v>
      </c>
      <c r="P30">
        <v>26</v>
      </c>
      <c r="Q30">
        <v>21.5</v>
      </c>
      <c r="R30" s="60">
        <f t="shared" si="2"/>
        <v>17.592857142857142</v>
      </c>
      <c r="S30" s="60">
        <f t="shared" si="3"/>
        <v>32.142619516405922</v>
      </c>
    </row>
    <row r="31" spans="1:19" ht="16.2" thickBot="1" x14ac:dyDescent="0.35">
      <c r="A31" s="43">
        <v>28</v>
      </c>
      <c r="B31" s="35" t="s">
        <v>36</v>
      </c>
      <c r="C31" s="44" t="s">
        <v>74</v>
      </c>
      <c r="D31" s="45">
        <v>15</v>
      </c>
      <c r="E31" s="45">
        <v>10</v>
      </c>
      <c r="F31" s="45">
        <v>3</v>
      </c>
      <c r="G31" s="45">
        <v>6</v>
      </c>
      <c r="H31" s="45">
        <v>7</v>
      </c>
      <c r="I31" s="58">
        <f t="shared" si="0"/>
        <v>8.25</v>
      </c>
      <c r="J31" s="45">
        <v>32</v>
      </c>
      <c r="K31" s="45">
        <v>75</v>
      </c>
      <c r="L31" s="48">
        <v>98</v>
      </c>
      <c r="M31" s="45">
        <v>48</v>
      </c>
      <c r="N31" s="45">
        <v>28</v>
      </c>
      <c r="O31" s="55">
        <f t="shared" si="1"/>
        <v>7.9436233669243386</v>
      </c>
      <c r="P31">
        <v>24.5</v>
      </c>
      <c r="Q31">
        <v>27</v>
      </c>
      <c r="R31" s="60">
        <f t="shared" si="2"/>
        <v>18.600000000000001</v>
      </c>
      <c r="S31" s="60">
        <f t="shared" si="3"/>
        <v>34.793623366924336</v>
      </c>
    </row>
    <row r="32" spans="1:19" ht="16.2" thickBot="1" x14ac:dyDescent="0.35">
      <c r="A32" s="43">
        <v>29</v>
      </c>
      <c r="B32" s="35" t="s">
        <v>37</v>
      </c>
      <c r="C32" s="44" t="s">
        <v>75</v>
      </c>
      <c r="D32" s="45">
        <v>13</v>
      </c>
      <c r="E32" s="45">
        <v>5</v>
      </c>
      <c r="F32" s="45">
        <v>4</v>
      </c>
      <c r="G32" s="45">
        <v>4</v>
      </c>
      <c r="H32" s="47">
        <v>0</v>
      </c>
      <c r="I32" s="58">
        <f t="shared" si="0"/>
        <v>5.416666666666667</v>
      </c>
      <c r="J32" s="45">
        <v>19.5</v>
      </c>
      <c r="K32" s="47">
        <v>0</v>
      </c>
      <c r="L32" s="48">
        <v>91</v>
      </c>
      <c r="M32" s="45">
        <v>25</v>
      </c>
      <c r="N32" s="45">
        <v>18</v>
      </c>
      <c r="O32" s="55">
        <f t="shared" si="1"/>
        <v>4.4380619380619386</v>
      </c>
      <c r="P32">
        <v>14</v>
      </c>
      <c r="Q32">
        <v>29.5</v>
      </c>
      <c r="R32" s="60">
        <f t="shared" si="2"/>
        <v>14.85</v>
      </c>
      <c r="S32" s="60">
        <f t="shared" si="3"/>
        <v>24.704728604728608</v>
      </c>
    </row>
    <row r="33" spans="1:19" ht="15.6" x14ac:dyDescent="0.3">
      <c r="A33" s="43">
        <v>30</v>
      </c>
      <c r="B33" s="35" t="s">
        <v>38</v>
      </c>
      <c r="C33" s="44" t="s">
        <v>76</v>
      </c>
      <c r="D33" s="47">
        <v>0</v>
      </c>
      <c r="E33" s="45">
        <v>7</v>
      </c>
      <c r="F33" s="45">
        <v>4</v>
      </c>
      <c r="G33" s="45">
        <v>4</v>
      </c>
      <c r="H33" s="45">
        <v>7</v>
      </c>
      <c r="I33" s="58">
        <f t="shared" si="0"/>
        <v>5.5</v>
      </c>
      <c r="J33" s="47">
        <v>0</v>
      </c>
      <c r="K33" s="45">
        <v>43</v>
      </c>
      <c r="L33" s="48">
        <v>53</v>
      </c>
      <c r="M33" s="50">
        <v>48</v>
      </c>
      <c r="N33" s="45">
        <v>25</v>
      </c>
      <c r="O33" s="55">
        <f t="shared" si="1"/>
        <v>4.5255108968701201</v>
      </c>
      <c r="P33">
        <v>32</v>
      </c>
      <c r="Q33">
        <v>36.5</v>
      </c>
      <c r="R33" s="60">
        <f t="shared" si="2"/>
        <v>24.664285714285711</v>
      </c>
      <c r="S33" s="60">
        <f t="shared" si="3"/>
        <v>34.689796611155828</v>
      </c>
    </row>
    <row r="34" spans="1:19" ht="15.6" x14ac:dyDescent="0.3">
      <c r="A34" s="43">
        <v>31</v>
      </c>
      <c r="B34" s="35" t="s">
        <v>39</v>
      </c>
      <c r="C34" s="44" t="s">
        <v>77</v>
      </c>
      <c r="D34" s="45">
        <v>15</v>
      </c>
      <c r="E34" s="45">
        <v>7</v>
      </c>
      <c r="F34" s="45">
        <v>4</v>
      </c>
      <c r="G34" s="45">
        <v>2</v>
      </c>
      <c r="H34" s="45">
        <v>7</v>
      </c>
      <c r="I34" s="58">
        <f t="shared" si="0"/>
        <v>7</v>
      </c>
      <c r="J34" s="45">
        <v>23</v>
      </c>
      <c r="K34" s="45">
        <v>51.5</v>
      </c>
      <c r="L34" s="48">
        <v>58</v>
      </c>
      <c r="M34" s="50">
        <v>39</v>
      </c>
      <c r="N34" s="45">
        <v>26</v>
      </c>
      <c r="O34" s="55">
        <f t="shared" si="1"/>
        <v>5.8688311688311687</v>
      </c>
      <c r="P34">
        <v>22</v>
      </c>
      <c r="Q34">
        <v>21.5</v>
      </c>
      <c r="R34" s="60">
        <f t="shared" si="2"/>
        <v>15.87857142857143</v>
      </c>
      <c r="S34" s="60">
        <f t="shared" si="3"/>
        <v>28.747402597402598</v>
      </c>
    </row>
    <row r="35" spans="1:19" ht="15.6" x14ac:dyDescent="0.3">
      <c r="A35" s="43">
        <v>32</v>
      </c>
      <c r="B35" s="35" t="s">
        <v>40</v>
      </c>
      <c r="C35" s="44" t="s">
        <v>78</v>
      </c>
      <c r="D35" s="45">
        <v>15</v>
      </c>
      <c r="E35" s="45">
        <v>5</v>
      </c>
      <c r="F35" s="45">
        <v>3.5</v>
      </c>
      <c r="G35" s="45">
        <v>7</v>
      </c>
      <c r="H35" s="45">
        <v>3</v>
      </c>
      <c r="I35" s="58">
        <f t="shared" si="0"/>
        <v>6.375</v>
      </c>
      <c r="J35" s="45">
        <v>28</v>
      </c>
      <c r="K35" s="45">
        <v>71</v>
      </c>
      <c r="L35" s="49">
        <v>61</v>
      </c>
      <c r="M35" s="45">
        <v>39</v>
      </c>
      <c r="N35" s="45">
        <v>18</v>
      </c>
      <c r="O35" s="55">
        <f t="shared" si="1"/>
        <v>6.1877316857899389</v>
      </c>
      <c r="P35">
        <v>28.5</v>
      </c>
      <c r="Q35">
        <v>36</v>
      </c>
      <c r="R35" s="60">
        <f t="shared" si="2"/>
        <v>23.014285714285712</v>
      </c>
      <c r="S35" s="60">
        <f t="shared" si="3"/>
        <v>35.577017400075647</v>
      </c>
    </row>
    <row r="36" spans="1:19" ht="15.6" x14ac:dyDescent="0.3">
      <c r="A36" s="43">
        <v>33</v>
      </c>
      <c r="B36" s="35" t="s">
        <v>41</v>
      </c>
      <c r="C36" s="44" t="s">
        <v>79</v>
      </c>
      <c r="D36" s="45">
        <v>15</v>
      </c>
      <c r="E36" s="45">
        <v>9</v>
      </c>
      <c r="F36" s="45">
        <v>4.5</v>
      </c>
      <c r="G36" s="45">
        <v>3</v>
      </c>
      <c r="H36" s="45">
        <v>7</v>
      </c>
      <c r="I36" s="58">
        <f t="shared" si="0"/>
        <v>7.625</v>
      </c>
      <c r="J36" s="45">
        <v>29</v>
      </c>
      <c r="K36" s="45">
        <v>63</v>
      </c>
      <c r="L36" s="48">
        <v>79</v>
      </c>
      <c r="M36" s="45">
        <v>45</v>
      </c>
      <c r="N36" s="45">
        <v>32</v>
      </c>
      <c r="O36" s="55">
        <f t="shared" si="1"/>
        <v>7.3014228489956636</v>
      </c>
      <c r="P36">
        <v>29</v>
      </c>
      <c r="Q36">
        <v>36</v>
      </c>
      <c r="R36" s="60">
        <f t="shared" si="2"/>
        <v>23.228571428571428</v>
      </c>
      <c r="S36" s="60">
        <f t="shared" si="3"/>
        <v>38.154994277567091</v>
      </c>
    </row>
    <row r="37" spans="1:19" ht="15.6" x14ac:dyDescent="0.3">
      <c r="A37" s="43">
        <v>34</v>
      </c>
      <c r="B37" s="35" t="s">
        <v>42</v>
      </c>
      <c r="C37" s="44" t="s">
        <v>80</v>
      </c>
      <c r="D37" s="45">
        <v>14</v>
      </c>
      <c r="E37" s="45">
        <v>6</v>
      </c>
      <c r="F37" s="45">
        <v>4</v>
      </c>
      <c r="G37" s="45">
        <v>2</v>
      </c>
      <c r="H37" s="45">
        <v>5</v>
      </c>
      <c r="I37" s="58">
        <f t="shared" si="0"/>
        <v>6.0833333333333339</v>
      </c>
      <c r="J37" s="45">
        <v>27</v>
      </c>
      <c r="K37" s="45">
        <v>45</v>
      </c>
      <c r="L37" s="48">
        <v>72</v>
      </c>
      <c r="M37" s="45">
        <v>42</v>
      </c>
      <c r="N37" s="45">
        <v>26</v>
      </c>
      <c r="O37" s="55">
        <f t="shared" si="1"/>
        <v>6.3180421520227341</v>
      </c>
      <c r="P37">
        <v>18.5</v>
      </c>
      <c r="Q37">
        <v>14.5</v>
      </c>
      <c r="R37" s="60">
        <f t="shared" si="2"/>
        <v>12.278571428571428</v>
      </c>
      <c r="S37" s="60">
        <f t="shared" si="3"/>
        <v>24.679946913927495</v>
      </c>
    </row>
    <row r="38" spans="1:19" ht="16.2" thickBot="1" x14ac:dyDescent="0.35">
      <c r="A38" s="43">
        <v>35</v>
      </c>
      <c r="B38" s="35" t="s">
        <v>43</v>
      </c>
      <c r="C38" s="44" t="s">
        <v>81</v>
      </c>
      <c r="D38" s="45">
        <v>15</v>
      </c>
      <c r="E38" s="45">
        <v>4</v>
      </c>
      <c r="F38" s="45">
        <v>5</v>
      </c>
      <c r="G38" s="45">
        <v>2</v>
      </c>
      <c r="H38" s="45">
        <v>7</v>
      </c>
      <c r="I38" s="58">
        <f t="shared" si="0"/>
        <v>6.5</v>
      </c>
      <c r="J38" s="45">
        <v>27</v>
      </c>
      <c r="K38" s="45">
        <v>64</v>
      </c>
      <c r="L38" s="48">
        <v>71</v>
      </c>
      <c r="M38" s="45">
        <v>44</v>
      </c>
      <c r="N38" s="45">
        <v>33</v>
      </c>
      <c r="O38" s="55">
        <f t="shared" si="1"/>
        <v>7.0803308342143296</v>
      </c>
      <c r="P38">
        <v>20.5</v>
      </c>
      <c r="Q38">
        <v>32</v>
      </c>
      <c r="R38" s="60">
        <f t="shared" si="2"/>
        <v>18.385714285714286</v>
      </c>
      <c r="S38" s="60">
        <f t="shared" si="3"/>
        <v>31.966045119928616</v>
      </c>
    </row>
    <row r="39" spans="1:19" ht="16.2" thickBot="1" x14ac:dyDescent="0.35">
      <c r="A39" s="43">
        <v>36</v>
      </c>
      <c r="B39" s="35" t="s">
        <v>44</v>
      </c>
      <c r="C39" s="44" t="s">
        <v>82</v>
      </c>
      <c r="D39" s="45">
        <v>6</v>
      </c>
      <c r="E39" s="45">
        <v>0</v>
      </c>
      <c r="F39" s="45">
        <v>0</v>
      </c>
      <c r="G39" s="45">
        <v>0</v>
      </c>
      <c r="H39" s="45">
        <v>6</v>
      </c>
      <c r="I39" s="58">
        <f t="shared" si="0"/>
        <v>2.5</v>
      </c>
      <c r="J39" s="45">
        <v>13.5</v>
      </c>
      <c r="K39" s="47">
        <v>0</v>
      </c>
      <c r="L39" s="48">
        <v>60</v>
      </c>
      <c r="M39" s="50">
        <v>48</v>
      </c>
      <c r="N39" s="45">
        <v>25</v>
      </c>
      <c r="O39" s="55">
        <f t="shared" si="1"/>
        <v>4.5892607392607392</v>
      </c>
      <c r="P39">
        <v>13</v>
      </c>
      <c r="Q39">
        <v>5</v>
      </c>
      <c r="R39" s="60">
        <f t="shared" si="2"/>
        <v>7.0714285714285712</v>
      </c>
      <c r="S39" s="60">
        <f t="shared" si="3"/>
        <v>14.16068931068931</v>
      </c>
    </row>
    <row r="40" spans="1:19" ht="13.8" thickBot="1" x14ac:dyDescent="0.3">
      <c r="A40" s="43">
        <v>37</v>
      </c>
      <c r="B40" s="35" t="s">
        <v>45</v>
      </c>
      <c r="C40" s="44" t="s">
        <v>83</v>
      </c>
      <c r="D40" s="45">
        <v>15</v>
      </c>
      <c r="E40" s="45">
        <v>6</v>
      </c>
      <c r="F40" s="45"/>
      <c r="G40" s="45">
        <v>4</v>
      </c>
      <c r="H40" s="47">
        <v>0</v>
      </c>
      <c r="I40" s="58">
        <f t="shared" si="0"/>
        <v>5</v>
      </c>
      <c r="J40" s="45">
        <v>27</v>
      </c>
      <c r="K40" s="45">
        <v>59.5</v>
      </c>
      <c r="L40" s="47">
        <v>0</v>
      </c>
      <c r="M40" s="50">
        <v>23</v>
      </c>
      <c r="N40" s="47">
        <v>0</v>
      </c>
      <c r="O40" s="55">
        <f t="shared" si="1"/>
        <v>3.4058892563746932</v>
      </c>
      <c r="P40">
        <v>19.5</v>
      </c>
      <c r="Q40">
        <v>17</v>
      </c>
      <c r="R40" s="60">
        <f t="shared" si="2"/>
        <v>13.457142857142859</v>
      </c>
      <c r="S40" s="60">
        <f t="shared" si="3"/>
        <v>21.863032113517551</v>
      </c>
    </row>
    <row r="41" spans="1:19" ht="13.8" thickBot="1" x14ac:dyDescent="0.3">
      <c r="A41" s="43">
        <v>38</v>
      </c>
      <c r="B41" s="35" t="s">
        <v>46</v>
      </c>
      <c r="C41" s="44" t="s">
        <v>84</v>
      </c>
      <c r="D41" s="45">
        <v>15</v>
      </c>
      <c r="E41" s="45">
        <v>8</v>
      </c>
      <c r="F41" s="45">
        <v>4</v>
      </c>
      <c r="G41" s="45">
        <v>7</v>
      </c>
      <c r="H41" s="45">
        <v>5</v>
      </c>
      <c r="I41" s="58">
        <f t="shared" si="0"/>
        <v>7.5</v>
      </c>
      <c r="J41" s="45">
        <v>11.25</v>
      </c>
      <c r="K41" s="45">
        <v>44</v>
      </c>
      <c r="L41" s="47">
        <v>0</v>
      </c>
      <c r="M41" s="45">
        <v>38</v>
      </c>
      <c r="N41" s="45">
        <v>17</v>
      </c>
      <c r="O41" s="55">
        <f t="shared" si="1"/>
        <v>3.5164568441267474</v>
      </c>
      <c r="P41">
        <v>26</v>
      </c>
      <c r="Q41">
        <v>34.5</v>
      </c>
      <c r="R41" s="60">
        <f t="shared" si="2"/>
        <v>21.49285714285714</v>
      </c>
      <c r="S41" s="60">
        <f t="shared" si="3"/>
        <v>32.509313986983884</v>
      </c>
    </row>
    <row r="42" spans="1:19" ht="15.6" x14ac:dyDescent="0.3">
      <c r="A42" s="43">
        <v>39</v>
      </c>
      <c r="B42" s="35" t="s">
        <v>89</v>
      </c>
      <c r="C42" s="44" t="s">
        <v>90</v>
      </c>
      <c r="D42" s="45">
        <v>11</v>
      </c>
      <c r="E42" s="45">
        <v>9</v>
      </c>
      <c r="F42" s="45">
        <v>2.5</v>
      </c>
      <c r="G42" s="45">
        <v>0</v>
      </c>
      <c r="H42" s="45">
        <v>7</v>
      </c>
      <c r="I42" s="58">
        <f t="shared" si="0"/>
        <v>6.458333333333333</v>
      </c>
      <c r="J42" s="45">
        <v>28</v>
      </c>
      <c r="K42" s="47">
        <v>0</v>
      </c>
      <c r="L42" s="49">
        <v>91</v>
      </c>
      <c r="M42" s="45">
        <v>47</v>
      </c>
      <c r="N42" s="45">
        <v>24</v>
      </c>
      <c r="O42" s="55">
        <f t="shared" si="1"/>
        <v>5.9006993006993014</v>
      </c>
      <c r="P42">
        <v>27.5</v>
      </c>
      <c r="Q42">
        <v>17.5</v>
      </c>
      <c r="R42" s="60">
        <f t="shared" si="2"/>
        <v>17.035714285714285</v>
      </c>
      <c r="S42" s="60">
        <f t="shared" si="3"/>
        <v>29.394746919746918</v>
      </c>
    </row>
    <row r="43" spans="1:19" ht="15.6" x14ac:dyDescent="0.3">
      <c r="A43" s="43">
        <v>40</v>
      </c>
      <c r="B43" s="35" t="s">
        <v>104</v>
      </c>
      <c r="C43" s="44" t="s">
        <v>85</v>
      </c>
      <c r="D43" s="45">
        <v>13</v>
      </c>
      <c r="E43" s="45">
        <v>6</v>
      </c>
      <c r="F43" s="45">
        <v>4</v>
      </c>
      <c r="G43" s="45">
        <v>7</v>
      </c>
      <c r="H43" s="45">
        <v>5</v>
      </c>
      <c r="I43" s="58">
        <f t="shared" si="0"/>
        <v>6.666666666666667</v>
      </c>
      <c r="J43" s="45">
        <v>20</v>
      </c>
      <c r="K43" s="45">
        <v>41</v>
      </c>
      <c r="L43" s="49">
        <v>89</v>
      </c>
      <c r="M43" s="45">
        <v>40</v>
      </c>
      <c r="N43" s="45">
        <v>20</v>
      </c>
      <c r="O43" s="55">
        <f t="shared" si="1"/>
        <v>5.7879246966625608</v>
      </c>
      <c r="P43">
        <v>16.5</v>
      </c>
      <c r="Q43">
        <v>20</v>
      </c>
      <c r="R43" s="60">
        <f t="shared" si="2"/>
        <v>13.071428571428571</v>
      </c>
      <c r="S43" s="60">
        <f t="shared" si="3"/>
        <v>25.526019934757798</v>
      </c>
    </row>
    <row r="46" spans="1:19" x14ac:dyDescent="0.25">
      <c r="C46" s="53" t="s">
        <v>116</v>
      </c>
      <c r="D46" s="53">
        <f>MAX(D4:D43)</f>
        <v>15</v>
      </c>
      <c r="E46" s="53">
        <f t="shared" ref="E46:S46" si="4">MAX(E4:E43)</f>
        <v>10</v>
      </c>
      <c r="F46" s="53">
        <f t="shared" si="4"/>
        <v>5.5</v>
      </c>
      <c r="G46" s="53">
        <f t="shared" si="4"/>
        <v>10</v>
      </c>
      <c r="H46" s="53">
        <f t="shared" si="4"/>
        <v>8</v>
      </c>
      <c r="I46" s="59">
        <f t="shared" si="4"/>
        <v>8.75</v>
      </c>
      <c r="J46" s="53">
        <f t="shared" si="4"/>
        <v>32</v>
      </c>
      <c r="K46" s="53">
        <f t="shared" si="4"/>
        <v>83</v>
      </c>
      <c r="L46" s="53">
        <f t="shared" si="4"/>
        <v>98</v>
      </c>
      <c r="M46" s="53">
        <f t="shared" si="4"/>
        <v>48</v>
      </c>
      <c r="N46" s="53">
        <f t="shared" si="4"/>
        <v>33</v>
      </c>
      <c r="O46" s="56">
        <f t="shared" si="4"/>
        <v>7.9436233669243386</v>
      </c>
      <c r="P46" s="53">
        <f t="shared" si="4"/>
        <v>32.5</v>
      </c>
      <c r="Q46" s="53">
        <f t="shared" si="4"/>
        <v>39.5</v>
      </c>
      <c r="R46" s="59">
        <f t="shared" si="4"/>
        <v>24.664285714285711</v>
      </c>
      <c r="S46" s="53">
        <f t="shared" si="4"/>
        <v>38.154994277567091</v>
      </c>
    </row>
    <row r="47" spans="1:19" x14ac:dyDescent="0.25">
      <c r="C47" s="53" t="s">
        <v>117</v>
      </c>
      <c r="D47" s="53">
        <f>MIN(D4:D43)</f>
        <v>0</v>
      </c>
      <c r="E47" s="53">
        <f t="shared" ref="E47:S47" si="5">MIN(E4:E43)</f>
        <v>0</v>
      </c>
      <c r="F47" s="53">
        <f t="shared" si="5"/>
        <v>0</v>
      </c>
      <c r="G47" s="53">
        <f t="shared" si="5"/>
        <v>0</v>
      </c>
      <c r="H47" s="53">
        <f t="shared" si="5"/>
        <v>0</v>
      </c>
      <c r="I47" s="59">
        <f t="shared" si="5"/>
        <v>0</v>
      </c>
      <c r="J47" s="53">
        <f t="shared" si="5"/>
        <v>0</v>
      </c>
      <c r="K47" s="53">
        <f t="shared" si="5"/>
        <v>0</v>
      </c>
      <c r="L47" s="53">
        <f t="shared" si="5"/>
        <v>0</v>
      </c>
      <c r="M47" s="53">
        <f t="shared" si="5"/>
        <v>0</v>
      </c>
      <c r="N47" s="53">
        <f t="shared" si="5"/>
        <v>0</v>
      </c>
      <c r="O47" s="56">
        <f t="shared" si="5"/>
        <v>0</v>
      </c>
      <c r="P47" s="53">
        <f t="shared" si="5"/>
        <v>0</v>
      </c>
      <c r="Q47" s="53">
        <f t="shared" si="5"/>
        <v>4</v>
      </c>
      <c r="R47" s="59">
        <f t="shared" si="5"/>
        <v>0</v>
      </c>
      <c r="S47" s="53">
        <f t="shared" si="5"/>
        <v>0.61818181818181817</v>
      </c>
    </row>
    <row r="48" spans="1:19" x14ac:dyDescent="0.25">
      <c r="C48" s="53" t="s">
        <v>118</v>
      </c>
      <c r="D48" s="53">
        <f>AVERAGE(D4:D43)</f>
        <v>11.5</v>
      </c>
      <c r="E48" s="53">
        <f t="shared" ref="E48:S48" si="6">AVERAGE(E4:E43)</f>
        <v>5.9</v>
      </c>
      <c r="F48" s="53">
        <f t="shared" si="6"/>
        <v>3.0897435897435899</v>
      </c>
      <c r="G48" s="53">
        <f t="shared" si="6"/>
        <v>4.2249999999999996</v>
      </c>
      <c r="H48" s="53">
        <f t="shared" si="6"/>
        <v>5.4749999999999996</v>
      </c>
      <c r="I48" s="59">
        <f t="shared" si="6"/>
        <v>6.0979166666666664</v>
      </c>
      <c r="J48" s="53">
        <f t="shared" si="6"/>
        <v>21.443750000000001</v>
      </c>
      <c r="K48" s="53">
        <f t="shared" si="6"/>
        <v>46.387500000000003</v>
      </c>
      <c r="L48" s="53">
        <f t="shared" si="6"/>
        <v>54.174999999999997</v>
      </c>
      <c r="M48" s="53">
        <f t="shared" si="6"/>
        <v>35.325000000000003</v>
      </c>
      <c r="N48" s="53">
        <f t="shared" si="6"/>
        <v>22.225000000000001</v>
      </c>
      <c r="O48" s="56">
        <f t="shared" si="6"/>
        <v>5.3092583751200255</v>
      </c>
      <c r="P48" s="53">
        <f t="shared" si="6"/>
        <v>21.051282051282051</v>
      </c>
      <c r="Q48" s="53">
        <f t="shared" si="6"/>
        <v>21.368421052631579</v>
      </c>
      <c r="R48" s="59">
        <f t="shared" si="6"/>
        <v>15.181071428571434</v>
      </c>
      <c r="S48" s="53">
        <f t="shared" si="6"/>
        <v>26.588246470358122</v>
      </c>
    </row>
    <row r="49" spans="16:17" x14ac:dyDescent="0.25">
      <c r="P49" s="14">
        <f>MIN(P$4:P$43)</f>
        <v>0</v>
      </c>
      <c r="Q49" s="14">
        <f>MIN(Q$4:Q$43)</f>
        <v>4</v>
      </c>
    </row>
    <row r="50" spans="16:17" x14ac:dyDescent="0.25">
      <c r="P50" s="14">
        <f>AVERAGE(P$4:P$43)</f>
        <v>21.051282051282051</v>
      </c>
      <c r="Q50" s="14">
        <f>AVERAGE(Q$4:Q$43)</f>
        <v>21.368421052631579</v>
      </c>
    </row>
    <row r="51" spans="16:17" ht="13.8" thickBot="1" x14ac:dyDescent="0.3">
      <c r="P51" s="17">
        <f>STDEV(P$4:P$43)</f>
        <v>7.2699768983514756</v>
      </c>
      <c r="Q51" s="17">
        <f>STDEV(Q$4:Q$43)</f>
        <v>10.482085238780416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2"/>
  <sheetViews>
    <sheetView zoomScale="125" zoomScaleNormal="125" zoomScalePageLayoutView="125" workbookViewId="0">
      <pane xSplit="3" topLeftCell="F1" activePane="topRight" state="frozen"/>
      <selection pane="topRight" activeCell="F1" sqref="F1:G1048576"/>
    </sheetView>
  </sheetViews>
  <sheetFormatPr defaultColWidth="8.77734375" defaultRowHeight="13.2" x14ac:dyDescent="0.25"/>
  <cols>
    <col min="1" max="1" width="6.109375" style="1" customWidth="1"/>
    <col min="2" max="2" width="10.44140625" style="20" customWidth="1"/>
    <col min="3" max="3" width="28" style="1" customWidth="1"/>
    <col min="4" max="4" width="12.33203125" style="1" customWidth="1"/>
    <col min="5" max="5" width="8.109375" style="1" customWidth="1"/>
    <col min="6" max="7" width="8" style="1" customWidth="1"/>
    <col min="8" max="8" width="12.33203125" style="1" customWidth="1"/>
    <col min="9" max="9" width="10.77734375" style="1" customWidth="1"/>
    <col min="10" max="10" width="12.44140625" style="1" customWidth="1"/>
    <col min="11" max="11" width="7.77734375" style="1" customWidth="1"/>
    <col min="12" max="12" width="12" style="1" customWidth="1"/>
    <col min="13" max="13" width="13" style="1" customWidth="1"/>
    <col min="14" max="15" width="12.44140625" style="1" customWidth="1"/>
    <col min="16" max="16" width="14" style="1" customWidth="1"/>
    <col min="17" max="20" width="7.77734375" style="1" customWidth="1"/>
    <col min="21" max="21" width="10.77734375" style="1" customWidth="1"/>
    <col min="22" max="22" width="7.77734375" style="1" customWidth="1"/>
    <col min="23" max="266" width="8.77734375" style="1"/>
    <col min="267" max="267" width="6.109375" style="1" customWidth="1"/>
    <col min="268" max="268" width="10.44140625" style="1" customWidth="1"/>
    <col min="269" max="269" width="30.33203125" style="1" customWidth="1"/>
    <col min="270" max="277" width="8.6640625" style="1" customWidth="1"/>
    <col min="278" max="522" width="8.77734375" style="1"/>
    <col min="523" max="523" width="6.109375" style="1" customWidth="1"/>
    <col min="524" max="524" width="10.44140625" style="1" customWidth="1"/>
    <col min="525" max="525" width="30.33203125" style="1" customWidth="1"/>
    <col min="526" max="533" width="8.6640625" style="1" customWidth="1"/>
    <col min="534" max="778" width="8.77734375" style="1"/>
    <col min="779" max="779" width="6.109375" style="1" customWidth="1"/>
    <col min="780" max="780" width="10.44140625" style="1" customWidth="1"/>
    <col min="781" max="781" width="30.33203125" style="1" customWidth="1"/>
    <col min="782" max="789" width="8.6640625" style="1" customWidth="1"/>
    <col min="790" max="1034" width="8.77734375" style="1"/>
    <col min="1035" max="1035" width="6.109375" style="1" customWidth="1"/>
    <col min="1036" max="1036" width="10.44140625" style="1" customWidth="1"/>
    <col min="1037" max="1037" width="30.33203125" style="1" customWidth="1"/>
    <col min="1038" max="1045" width="8.6640625" style="1" customWidth="1"/>
    <col min="1046" max="1290" width="8.77734375" style="1"/>
    <col min="1291" max="1291" width="6.109375" style="1" customWidth="1"/>
    <col min="1292" max="1292" width="10.44140625" style="1" customWidth="1"/>
    <col min="1293" max="1293" width="30.33203125" style="1" customWidth="1"/>
    <col min="1294" max="1301" width="8.6640625" style="1" customWidth="1"/>
    <col min="1302" max="1546" width="8.77734375" style="1"/>
    <col min="1547" max="1547" width="6.109375" style="1" customWidth="1"/>
    <col min="1548" max="1548" width="10.44140625" style="1" customWidth="1"/>
    <col min="1549" max="1549" width="30.33203125" style="1" customWidth="1"/>
    <col min="1550" max="1557" width="8.6640625" style="1" customWidth="1"/>
    <col min="1558" max="1802" width="8.77734375" style="1"/>
    <col min="1803" max="1803" width="6.109375" style="1" customWidth="1"/>
    <col min="1804" max="1804" width="10.44140625" style="1" customWidth="1"/>
    <col min="1805" max="1805" width="30.33203125" style="1" customWidth="1"/>
    <col min="1806" max="1813" width="8.6640625" style="1" customWidth="1"/>
    <col min="1814" max="2058" width="8.77734375" style="1"/>
    <col min="2059" max="2059" width="6.109375" style="1" customWidth="1"/>
    <col min="2060" max="2060" width="10.44140625" style="1" customWidth="1"/>
    <col min="2061" max="2061" width="30.33203125" style="1" customWidth="1"/>
    <col min="2062" max="2069" width="8.6640625" style="1" customWidth="1"/>
    <col min="2070" max="2314" width="8.77734375" style="1"/>
    <col min="2315" max="2315" width="6.109375" style="1" customWidth="1"/>
    <col min="2316" max="2316" width="10.44140625" style="1" customWidth="1"/>
    <col min="2317" max="2317" width="30.33203125" style="1" customWidth="1"/>
    <col min="2318" max="2325" width="8.6640625" style="1" customWidth="1"/>
    <col min="2326" max="2570" width="8.77734375" style="1"/>
    <col min="2571" max="2571" width="6.109375" style="1" customWidth="1"/>
    <col min="2572" max="2572" width="10.44140625" style="1" customWidth="1"/>
    <col min="2573" max="2573" width="30.33203125" style="1" customWidth="1"/>
    <col min="2574" max="2581" width="8.6640625" style="1" customWidth="1"/>
    <col min="2582" max="2826" width="8.77734375" style="1"/>
    <col min="2827" max="2827" width="6.109375" style="1" customWidth="1"/>
    <col min="2828" max="2828" width="10.44140625" style="1" customWidth="1"/>
    <col min="2829" max="2829" width="30.33203125" style="1" customWidth="1"/>
    <col min="2830" max="2837" width="8.6640625" style="1" customWidth="1"/>
    <col min="2838" max="3082" width="8.77734375" style="1"/>
    <col min="3083" max="3083" width="6.109375" style="1" customWidth="1"/>
    <col min="3084" max="3084" width="10.44140625" style="1" customWidth="1"/>
    <col min="3085" max="3085" width="30.33203125" style="1" customWidth="1"/>
    <col min="3086" max="3093" width="8.6640625" style="1" customWidth="1"/>
    <col min="3094" max="3338" width="8.77734375" style="1"/>
    <col min="3339" max="3339" width="6.109375" style="1" customWidth="1"/>
    <col min="3340" max="3340" width="10.44140625" style="1" customWidth="1"/>
    <col min="3341" max="3341" width="30.33203125" style="1" customWidth="1"/>
    <col min="3342" max="3349" width="8.6640625" style="1" customWidth="1"/>
    <col min="3350" max="3594" width="8.77734375" style="1"/>
    <col min="3595" max="3595" width="6.109375" style="1" customWidth="1"/>
    <col min="3596" max="3596" width="10.44140625" style="1" customWidth="1"/>
    <col min="3597" max="3597" width="30.33203125" style="1" customWidth="1"/>
    <col min="3598" max="3605" width="8.6640625" style="1" customWidth="1"/>
    <col min="3606" max="3850" width="8.77734375" style="1"/>
    <col min="3851" max="3851" width="6.109375" style="1" customWidth="1"/>
    <col min="3852" max="3852" width="10.44140625" style="1" customWidth="1"/>
    <col min="3853" max="3853" width="30.33203125" style="1" customWidth="1"/>
    <col min="3854" max="3861" width="8.6640625" style="1" customWidth="1"/>
    <col min="3862" max="4106" width="8.77734375" style="1"/>
    <col min="4107" max="4107" width="6.109375" style="1" customWidth="1"/>
    <col min="4108" max="4108" width="10.44140625" style="1" customWidth="1"/>
    <col min="4109" max="4109" width="30.33203125" style="1" customWidth="1"/>
    <col min="4110" max="4117" width="8.6640625" style="1" customWidth="1"/>
    <col min="4118" max="4362" width="8.77734375" style="1"/>
    <col min="4363" max="4363" width="6.109375" style="1" customWidth="1"/>
    <col min="4364" max="4364" width="10.44140625" style="1" customWidth="1"/>
    <col min="4365" max="4365" width="30.33203125" style="1" customWidth="1"/>
    <col min="4366" max="4373" width="8.6640625" style="1" customWidth="1"/>
    <col min="4374" max="4618" width="8.77734375" style="1"/>
    <col min="4619" max="4619" width="6.109375" style="1" customWidth="1"/>
    <col min="4620" max="4620" width="10.44140625" style="1" customWidth="1"/>
    <col min="4621" max="4621" width="30.33203125" style="1" customWidth="1"/>
    <col min="4622" max="4629" width="8.6640625" style="1" customWidth="1"/>
    <col min="4630" max="4874" width="8.77734375" style="1"/>
    <col min="4875" max="4875" width="6.109375" style="1" customWidth="1"/>
    <col min="4876" max="4876" width="10.44140625" style="1" customWidth="1"/>
    <col min="4877" max="4877" width="30.33203125" style="1" customWidth="1"/>
    <col min="4878" max="4885" width="8.6640625" style="1" customWidth="1"/>
    <col min="4886" max="5130" width="8.77734375" style="1"/>
    <col min="5131" max="5131" width="6.109375" style="1" customWidth="1"/>
    <col min="5132" max="5132" width="10.44140625" style="1" customWidth="1"/>
    <col min="5133" max="5133" width="30.33203125" style="1" customWidth="1"/>
    <col min="5134" max="5141" width="8.6640625" style="1" customWidth="1"/>
    <col min="5142" max="5386" width="8.77734375" style="1"/>
    <col min="5387" max="5387" width="6.109375" style="1" customWidth="1"/>
    <col min="5388" max="5388" width="10.44140625" style="1" customWidth="1"/>
    <col min="5389" max="5389" width="30.33203125" style="1" customWidth="1"/>
    <col min="5390" max="5397" width="8.6640625" style="1" customWidth="1"/>
    <col min="5398" max="5642" width="8.77734375" style="1"/>
    <col min="5643" max="5643" width="6.109375" style="1" customWidth="1"/>
    <col min="5644" max="5644" width="10.44140625" style="1" customWidth="1"/>
    <col min="5645" max="5645" width="30.33203125" style="1" customWidth="1"/>
    <col min="5646" max="5653" width="8.6640625" style="1" customWidth="1"/>
    <col min="5654" max="5898" width="8.77734375" style="1"/>
    <col min="5899" max="5899" width="6.109375" style="1" customWidth="1"/>
    <col min="5900" max="5900" width="10.44140625" style="1" customWidth="1"/>
    <col min="5901" max="5901" width="30.33203125" style="1" customWidth="1"/>
    <col min="5902" max="5909" width="8.6640625" style="1" customWidth="1"/>
    <col min="5910" max="6154" width="8.77734375" style="1"/>
    <col min="6155" max="6155" width="6.109375" style="1" customWidth="1"/>
    <col min="6156" max="6156" width="10.44140625" style="1" customWidth="1"/>
    <col min="6157" max="6157" width="30.33203125" style="1" customWidth="1"/>
    <col min="6158" max="6165" width="8.6640625" style="1" customWidth="1"/>
    <col min="6166" max="6410" width="8.77734375" style="1"/>
    <col min="6411" max="6411" width="6.109375" style="1" customWidth="1"/>
    <col min="6412" max="6412" width="10.44140625" style="1" customWidth="1"/>
    <col min="6413" max="6413" width="30.33203125" style="1" customWidth="1"/>
    <col min="6414" max="6421" width="8.6640625" style="1" customWidth="1"/>
    <col min="6422" max="6666" width="8.77734375" style="1"/>
    <col min="6667" max="6667" width="6.109375" style="1" customWidth="1"/>
    <col min="6668" max="6668" width="10.44140625" style="1" customWidth="1"/>
    <col min="6669" max="6669" width="30.33203125" style="1" customWidth="1"/>
    <col min="6670" max="6677" width="8.6640625" style="1" customWidth="1"/>
    <col min="6678" max="6922" width="8.77734375" style="1"/>
    <col min="6923" max="6923" width="6.109375" style="1" customWidth="1"/>
    <col min="6924" max="6924" width="10.44140625" style="1" customWidth="1"/>
    <col min="6925" max="6925" width="30.33203125" style="1" customWidth="1"/>
    <col min="6926" max="6933" width="8.6640625" style="1" customWidth="1"/>
    <col min="6934" max="7178" width="8.77734375" style="1"/>
    <col min="7179" max="7179" width="6.109375" style="1" customWidth="1"/>
    <col min="7180" max="7180" width="10.44140625" style="1" customWidth="1"/>
    <col min="7181" max="7181" width="30.33203125" style="1" customWidth="1"/>
    <col min="7182" max="7189" width="8.6640625" style="1" customWidth="1"/>
    <col min="7190" max="7434" width="8.77734375" style="1"/>
    <col min="7435" max="7435" width="6.109375" style="1" customWidth="1"/>
    <col min="7436" max="7436" width="10.44140625" style="1" customWidth="1"/>
    <col min="7437" max="7437" width="30.33203125" style="1" customWidth="1"/>
    <col min="7438" max="7445" width="8.6640625" style="1" customWidth="1"/>
    <col min="7446" max="7690" width="8.77734375" style="1"/>
    <col min="7691" max="7691" width="6.109375" style="1" customWidth="1"/>
    <col min="7692" max="7692" width="10.44140625" style="1" customWidth="1"/>
    <col min="7693" max="7693" width="30.33203125" style="1" customWidth="1"/>
    <col min="7694" max="7701" width="8.6640625" style="1" customWidth="1"/>
    <col min="7702" max="7946" width="8.77734375" style="1"/>
    <col min="7947" max="7947" width="6.109375" style="1" customWidth="1"/>
    <col min="7948" max="7948" width="10.44140625" style="1" customWidth="1"/>
    <col min="7949" max="7949" width="30.33203125" style="1" customWidth="1"/>
    <col min="7950" max="7957" width="8.6640625" style="1" customWidth="1"/>
    <col min="7958" max="8202" width="8.77734375" style="1"/>
    <col min="8203" max="8203" width="6.109375" style="1" customWidth="1"/>
    <col min="8204" max="8204" width="10.44140625" style="1" customWidth="1"/>
    <col min="8205" max="8205" width="30.33203125" style="1" customWidth="1"/>
    <col min="8206" max="8213" width="8.6640625" style="1" customWidth="1"/>
    <col min="8214" max="8458" width="8.77734375" style="1"/>
    <col min="8459" max="8459" width="6.109375" style="1" customWidth="1"/>
    <col min="8460" max="8460" width="10.44140625" style="1" customWidth="1"/>
    <col min="8461" max="8461" width="30.33203125" style="1" customWidth="1"/>
    <col min="8462" max="8469" width="8.6640625" style="1" customWidth="1"/>
    <col min="8470" max="8714" width="8.77734375" style="1"/>
    <col min="8715" max="8715" width="6.109375" style="1" customWidth="1"/>
    <col min="8716" max="8716" width="10.44140625" style="1" customWidth="1"/>
    <col min="8717" max="8717" width="30.33203125" style="1" customWidth="1"/>
    <col min="8718" max="8725" width="8.6640625" style="1" customWidth="1"/>
    <col min="8726" max="8970" width="8.77734375" style="1"/>
    <col min="8971" max="8971" width="6.109375" style="1" customWidth="1"/>
    <col min="8972" max="8972" width="10.44140625" style="1" customWidth="1"/>
    <col min="8973" max="8973" width="30.33203125" style="1" customWidth="1"/>
    <col min="8974" max="8981" width="8.6640625" style="1" customWidth="1"/>
    <col min="8982" max="9226" width="8.77734375" style="1"/>
    <col min="9227" max="9227" width="6.109375" style="1" customWidth="1"/>
    <col min="9228" max="9228" width="10.44140625" style="1" customWidth="1"/>
    <col min="9229" max="9229" width="30.33203125" style="1" customWidth="1"/>
    <col min="9230" max="9237" width="8.6640625" style="1" customWidth="1"/>
    <col min="9238" max="9482" width="8.77734375" style="1"/>
    <col min="9483" max="9483" width="6.109375" style="1" customWidth="1"/>
    <col min="9484" max="9484" width="10.44140625" style="1" customWidth="1"/>
    <col min="9485" max="9485" width="30.33203125" style="1" customWidth="1"/>
    <col min="9486" max="9493" width="8.6640625" style="1" customWidth="1"/>
    <col min="9494" max="9738" width="8.77734375" style="1"/>
    <col min="9739" max="9739" width="6.109375" style="1" customWidth="1"/>
    <col min="9740" max="9740" width="10.44140625" style="1" customWidth="1"/>
    <col min="9741" max="9741" width="30.33203125" style="1" customWidth="1"/>
    <col min="9742" max="9749" width="8.6640625" style="1" customWidth="1"/>
    <col min="9750" max="9994" width="8.77734375" style="1"/>
    <col min="9995" max="9995" width="6.109375" style="1" customWidth="1"/>
    <col min="9996" max="9996" width="10.44140625" style="1" customWidth="1"/>
    <col min="9997" max="9997" width="30.33203125" style="1" customWidth="1"/>
    <col min="9998" max="10005" width="8.6640625" style="1" customWidth="1"/>
    <col min="10006" max="10250" width="8.77734375" style="1"/>
    <col min="10251" max="10251" width="6.109375" style="1" customWidth="1"/>
    <col min="10252" max="10252" width="10.44140625" style="1" customWidth="1"/>
    <col min="10253" max="10253" width="30.33203125" style="1" customWidth="1"/>
    <col min="10254" max="10261" width="8.6640625" style="1" customWidth="1"/>
    <col min="10262" max="10506" width="8.77734375" style="1"/>
    <col min="10507" max="10507" width="6.109375" style="1" customWidth="1"/>
    <col min="10508" max="10508" width="10.44140625" style="1" customWidth="1"/>
    <col min="10509" max="10509" width="30.33203125" style="1" customWidth="1"/>
    <col min="10510" max="10517" width="8.6640625" style="1" customWidth="1"/>
    <col min="10518" max="10762" width="8.77734375" style="1"/>
    <col min="10763" max="10763" width="6.109375" style="1" customWidth="1"/>
    <col min="10764" max="10764" width="10.44140625" style="1" customWidth="1"/>
    <col min="10765" max="10765" width="30.33203125" style="1" customWidth="1"/>
    <col min="10766" max="10773" width="8.6640625" style="1" customWidth="1"/>
    <col min="10774" max="11018" width="8.77734375" style="1"/>
    <col min="11019" max="11019" width="6.109375" style="1" customWidth="1"/>
    <col min="11020" max="11020" width="10.44140625" style="1" customWidth="1"/>
    <col min="11021" max="11021" width="30.33203125" style="1" customWidth="1"/>
    <col min="11022" max="11029" width="8.6640625" style="1" customWidth="1"/>
    <col min="11030" max="11274" width="8.77734375" style="1"/>
    <col min="11275" max="11275" width="6.109375" style="1" customWidth="1"/>
    <col min="11276" max="11276" width="10.44140625" style="1" customWidth="1"/>
    <col min="11277" max="11277" width="30.33203125" style="1" customWidth="1"/>
    <col min="11278" max="11285" width="8.6640625" style="1" customWidth="1"/>
    <col min="11286" max="11530" width="8.77734375" style="1"/>
    <col min="11531" max="11531" width="6.109375" style="1" customWidth="1"/>
    <col min="11532" max="11532" width="10.44140625" style="1" customWidth="1"/>
    <col min="11533" max="11533" width="30.33203125" style="1" customWidth="1"/>
    <col min="11534" max="11541" width="8.6640625" style="1" customWidth="1"/>
    <col min="11542" max="11786" width="8.77734375" style="1"/>
    <col min="11787" max="11787" width="6.109375" style="1" customWidth="1"/>
    <col min="11788" max="11788" width="10.44140625" style="1" customWidth="1"/>
    <col min="11789" max="11789" width="30.33203125" style="1" customWidth="1"/>
    <col min="11790" max="11797" width="8.6640625" style="1" customWidth="1"/>
    <col min="11798" max="12042" width="8.77734375" style="1"/>
    <col min="12043" max="12043" width="6.109375" style="1" customWidth="1"/>
    <col min="12044" max="12044" width="10.44140625" style="1" customWidth="1"/>
    <col min="12045" max="12045" width="30.33203125" style="1" customWidth="1"/>
    <col min="12046" max="12053" width="8.6640625" style="1" customWidth="1"/>
    <col min="12054" max="12298" width="8.77734375" style="1"/>
    <col min="12299" max="12299" width="6.109375" style="1" customWidth="1"/>
    <col min="12300" max="12300" width="10.44140625" style="1" customWidth="1"/>
    <col min="12301" max="12301" width="30.33203125" style="1" customWidth="1"/>
    <col min="12302" max="12309" width="8.6640625" style="1" customWidth="1"/>
    <col min="12310" max="12554" width="8.77734375" style="1"/>
    <col min="12555" max="12555" width="6.109375" style="1" customWidth="1"/>
    <col min="12556" max="12556" width="10.44140625" style="1" customWidth="1"/>
    <col min="12557" max="12557" width="30.33203125" style="1" customWidth="1"/>
    <col min="12558" max="12565" width="8.6640625" style="1" customWidth="1"/>
    <col min="12566" max="12810" width="8.77734375" style="1"/>
    <col min="12811" max="12811" width="6.109375" style="1" customWidth="1"/>
    <col min="12812" max="12812" width="10.44140625" style="1" customWidth="1"/>
    <col min="12813" max="12813" width="30.33203125" style="1" customWidth="1"/>
    <col min="12814" max="12821" width="8.6640625" style="1" customWidth="1"/>
    <col min="12822" max="13066" width="8.77734375" style="1"/>
    <col min="13067" max="13067" width="6.109375" style="1" customWidth="1"/>
    <col min="13068" max="13068" width="10.44140625" style="1" customWidth="1"/>
    <col min="13069" max="13069" width="30.33203125" style="1" customWidth="1"/>
    <col min="13070" max="13077" width="8.6640625" style="1" customWidth="1"/>
    <col min="13078" max="13322" width="8.77734375" style="1"/>
    <col min="13323" max="13323" width="6.109375" style="1" customWidth="1"/>
    <col min="13324" max="13324" width="10.44140625" style="1" customWidth="1"/>
    <col min="13325" max="13325" width="30.33203125" style="1" customWidth="1"/>
    <col min="13326" max="13333" width="8.6640625" style="1" customWidth="1"/>
    <col min="13334" max="13578" width="8.77734375" style="1"/>
    <col min="13579" max="13579" width="6.109375" style="1" customWidth="1"/>
    <col min="13580" max="13580" width="10.44140625" style="1" customWidth="1"/>
    <col min="13581" max="13581" width="30.33203125" style="1" customWidth="1"/>
    <col min="13582" max="13589" width="8.6640625" style="1" customWidth="1"/>
    <col min="13590" max="13834" width="8.77734375" style="1"/>
    <col min="13835" max="13835" width="6.109375" style="1" customWidth="1"/>
    <col min="13836" max="13836" width="10.44140625" style="1" customWidth="1"/>
    <col min="13837" max="13837" width="30.33203125" style="1" customWidth="1"/>
    <col min="13838" max="13845" width="8.6640625" style="1" customWidth="1"/>
    <col min="13846" max="14090" width="8.77734375" style="1"/>
    <col min="14091" max="14091" width="6.109375" style="1" customWidth="1"/>
    <col min="14092" max="14092" width="10.44140625" style="1" customWidth="1"/>
    <col min="14093" max="14093" width="30.33203125" style="1" customWidth="1"/>
    <col min="14094" max="14101" width="8.6640625" style="1" customWidth="1"/>
    <col min="14102" max="14346" width="8.77734375" style="1"/>
    <col min="14347" max="14347" width="6.109375" style="1" customWidth="1"/>
    <col min="14348" max="14348" width="10.44140625" style="1" customWidth="1"/>
    <col min="14349" max="14349" width="30.33203125" style="1" customWidth="1"/>
    <col min="14350" max="14357" width="8.6640625" style="1" customWidth="1"/>
    <col min="14358" max="14602" width="8.77734375" style="1"/>
    <col min="14603" max="14603" width="6.109375" style="1" customWidth="1"/>
    <col min="14604" max="14604" width="10.44140625" style="1" customWidth="1"/>
    <col min="14605" max="14605" width="30.33203125" style="1" customWidth="1"/>
    <col min="14606" max="14613" width="8.6640625" style="1" customWidth="1"/>
    <col min="14614" max="14858" width="8.77734375" style="1"/>
    <col min="14859" max="14859" width="6.109375" style="1" customWidth="1"/>
    <col min="14860" max="14860" width="10.44140625" style="1" customWidth="1"/>
    <col min="14861" max="14861" width="30.33203125" style="1" customWidth="1"/>
    <col min="14862" max="14869" width="8.6640625" style="1" customWidth="1"/>
    <col min="14870" max="15114" width="8.77734375" style="1"/>
    <col min="15115" max="15115" width="6.109375" style="1" customWidth="1"/>
    <col min="15116" max="15116" width="10.44140625" style="1" customWidth="1"/>
    <col min="15117" max="15117" width="30.33203125" style="1" customWidth="1"/>
    <col min="15118" max="15125" width="8.6640625" style="1" customWidth="1"/>
    <col min="15126" max="15370" width="8.77734375" style="1"/>
    <col min="15371" max="15371" width="6.109375" style="1" customWidth="1"/>
    <col min="15372" max="15372" width="10.44140625" style="1" customWidth="1"/>
    <col min="15373" max="15373" width="30.33203125" style="1" customWidth="1"/>
    <col min="15374" max="15381" width="8.6640625" style="1" customWidth="1"/>
    <col min="15382" max="15626" width="8.77734375" style="1"/>
    <col min="15627" max="15627" width="6.109375" style="1" customWidth="1"/>
    <col min="15628" max="15628" width="10.44140625" style="1" customWidth="1"/>
    <col min="15629" max="15629" width="30.33203125" style="1" customWidth="1"/>
    <col min="15630" max="15637" width="8.6640625" style="1" customWidth="1"/>
    <col min="15638" max="15882" width="8.77734375" style="1"/>
    <col min="15883" max="15883" width="6.109375" style="1" customWidth="1"/>
    <col min="15884" max="15884" width="10.44140625" style="1" customWidth="1"/>
    <col min="15885" max="15885" width="30.33203125" style="1" customWidth="1"/>
    <col min="15886" max="15893" width="8.6640625" style="1" customWidth="1"/>
    <col min="15894" max="16138" width="8.77734375" style="1"/>
    <col min="16139" max="16139" width="6.109375" style="1" customWidth="1"/>
    <col min="16140" max="16140" width="10.44140625" style="1" customWidth="1"/>
    <col min="16141" max="16141" width="30.33203125" style="1" customWidth="1"/>
    <col min="16142" max="16149" width="8.6640625" style="1" customWidth="1"/>
    <col min="16150" max="16384" width="8.77734375" style="1"/>
  </cols>
  <sheetData>
    <row r="1" spans="1:22" x14ac:dyDescent="0.25">
      <c r="D1" s="1">
        <v>35</v>
      </c>
      <c r="E1" s="1">
        <v>15</v>
      </c>
      <c r="H1" s="1">
        <v>103</v>
      </c>
      <c r="I1" s="1">
        <v>10</v>
      </c>
      <c r="M1" s="1">
        <v>10</v>
      </c>
    </row>
    <row r="2" spans="1:22" ht="15" customHeight="1" x14ac:dyDescent="0.25">
      <c r="A2" s="5" t="s">
        <v>0</v>
      </c>
      <c r="B2" s="6" t="s">
        <v>1</v>
      </c>
      <c r="C2" s="7" t="s">
        <v>2</v>
      </c>
      <c r="D2" s="19" t="s">
        <v>86</v>
      </c>
      <c r="E2" s="19" t="s">
        <v>87</v>
      </c>
      <c r="F2" s="19" t="s">
        <v>88</v>
      </c>
      <c r="G2" s="19" t="s">
        <v>101</v>
      </c>
      <c r="H2" s="19" t="s">
        <v>91</v>
      </c>
      <c r="I2" s="19" t="s">
        <v>92</v>
      </c>
      <c r="J2" s="19" t="s">
        <v>93</v>
      </c>
      <c r="K2" s="19" t="s">
        <v>94</v>
      </c>
      <c r="L2" s="19" t="s">
        <v>95</v>
      </c>
      <c r="M2" s="19" t="s">
        <v>96</v>
      </c>
      <c r="N2" s="19" t="s">
        <v>97</v>
      </c>
      <c r="O2" s="19" t="s">
        <v>98</v>
      </c>
      <c r="P2"/>
      <c r="Q2"/>
      <c r="R2"/>
      <c r="S2"/>
      <c r="T2"/>
      <c r="U2"/>
      <c r="V2"/>
    </row>
    <row r="3" spans="1:22" ht="15" customHeight="1" thickBot="1" x14ac:dyDescent="0.35">
      <c r="A3" s="8">
        <v>1</v>
      </c>
      <c r="B3" s="34" t="s">
        <v>9</v>
      </c>
      <c r="C3" s="36" t="s">
        <v>47</v>
      </c>
      <c r="D3">
        <v>30.5</v>
      </c>
      <c r="E3">
        <v>15</v>
      </c>
      <c r="F3">
        <v>25.5</v>
      </c>
      <c r="G3">
        <v>39.5</v>
      </c>
      <c r="H3">
        <v>72</v>
      </c>
      <c r="I3">
        <v>8</v>
      </c>
      <c r="J3" s="37">
        <v>0</v>
      </c>
      <c r="K3">
        <v>3</v>
      </c>
      <c r="L3">
        <v>39</v>
      </c>
      <c r="M3">
        <v>2</v>
      </c>
      <c r="N3"/>
      <c r="O3"/>
      <c r="P3"/>
      <c r="Q3"/>
      <c r="R3"/>
      <c r="S3"/>
      <c r="T3"/>
      <c r="U3"/>
      <c r="V3"/>
    </row>
    <row r="4" spans="1:22" ht="15" customHeight="1" x14ac:dyDescent="0.25">
      <c r="A4" s="8">
        <v>2</v>
      </c>
      <c r="B4" s="35" t="s">
        <v>10</v>
      </c>
      <c r="C4" s="36" t="s">
        <v>48</v>
      </c>
      <c r="D4" s="21">
        <v>0</v>
      </c>
      <c r="E4" s="21">
        <v>0</v>
      </c>
      <c r="F4" s="21">
        <v>0</v>
      </c>
      <c r="G4"/>
      <c r="H4" s="21">
        <v>0</v>
      </c>
      <c r="I4" s="21">
        <v>0</v>
      </c>
      <c r="J4" s="21">
        <v>0</v>
      </c>
      <c r="K4" s="21">
        <v>0</v>
      </c>
      <c r="L4" s="38" t="s">
        <v>99</v>
      </c>
      <c r="M4" s="21">
        <v>0</v>
      </c>
      <c r="N4"/>
      <c r="O4"/>
      <c r="P4"/>
      <c r="Q4"/>
      <c r="R4"/>
      <c r="S4"/>
      <c r="T4"/>
      <c r="U4"/>
      <c r="V4"/>
    </row>
    <row r="5" spans="1:22" ht="15" customHeight="1" x14ac:dyDescent="0.3">
      <c r="A5" s="8">
        <v>3</v>
      </c>
      <c r="B5" s="35" t="s">
        <v>11</v>
      </c>
      <c r="C5" s="36" t="s">
        <v>49</v>
      </c>
      <c r="D5">
        <v>25</v>
      </c>
      <c r="E5">
        <v>15</v>
      </c>
      <c r="F5">
        <v>30</v>
      </c>
      <c r="G5">
        <f>8.5+4.5</f>
        <v>13</v>
      </c>
      <c r="H5">
        <v>51.5</v>
      </c>
      <c r="I5">
        <v>9</v>
      </c>
      <c r="J5" s="37">
        <v>49</v>
      </c>
      <c r="K5">
        <v>2.5</v>
      </c>
      <c r="L5">
        <v>36</v>
      </c>
      <c r="M5">
        <v>6</v>
      </c>
      <c r="N5"/>
      <c r="O5"/>
      <c r="P5"/>
      <c r="Q5"/>
      <c r="R5"/>
      <c r="S5"/>
      <c r="T5"/>
      <c r="U5"/>
      <c r="V5"/>
    </row>
    <row r="6" spans="1:22" ht="15" customHeight="1" x14ac:dyDescent="0.3">
      <c r="A6" s="8">
        <v>4</v>
      </c>
      <c r="B6" s="35" t="s">
        <v>12</v>
      </c>
      <c r="C6" s="36" t="s">
        <v>50</v>
      </c>
      <c r="D6">
        <v>29</v>
      </c>
      <c r="E6">
        <v>15</v>
      </c>
      <c r="F6">
        <v>13.5</v>
      </c>
      <c r="G6">
        <v>6.5</v>
      </c>
      <c r="H6">
        <v>64</v>
      </c>
      <c r="I6">
        <v>7</v>
      </c>
      <c r="J6" s="39">
        <v>74.5</v>
      </c>
      <c r="K6">
        <v>3</v>
      </c>
      <c r="L6">
        <v>43</v>
      </c>
      <c r="M6" s="40">
        <v>4</v>
      </c>
      <c r="N6"/>
      <c r="O6"/>
      <c r="P6"/>
      <c r="Q6"/>
      <c r="R6"/>
      <c r="S6"/>
      <c r="T6"/>
      <c r="U6"/>
      <c r="V6"/>
    </row>
    <row r="7" spans="1:22" ht="15" customHeight="1" thickBot="1" x14ac:dyDescent="0.35">
      <c r="A7" s="8">
        <v>5</v>
      </c>
      <c r="B7" s="35" t="s">
        <v>13</v>
      </c>
      <c r="C7" s="36" t="s">
        <v>51</v>
      </c>
      <c r="D7">
        <v>29</v>
      </c>
      <c r="E7">
        <v>15</v>
      </c>
      <c r="F7">
        <v>15</v>
      </c>
      <c r="G7">
        <v>24</v>
      </c>
      <c r="H7">
        <v>55</v>
      </c>
      <c r="I7">
        <v>9</v>
      </c>
      <c r="J7" s="39">
        <v>64</v>
      </c>
      <c r="K7">
        <v>3.5</v>
      </c>
      <c r="L7">
        <v>39</v>
      </c>
      <c r="M7">
        <v>5</v>
      </c>
      <c r="N7"/>
      <c r="O7"/>
      <c r="P7"/>
      <c r="Q7"/>
      <c r="R7"/>
      <c r="S7"/>
      <c r="T7"/>
      <c r="U7"/>
      <c r="V7"/>
    </row>
    <row r="8" spans="1:22" ht="15" customHeight="1" thickBot="1" x14ac:dyDescent="0.3">
      <c r="A8" s="8">
        <v>6</v>
      </c>
      <c r="B8" s="35" t="s">
        <v>14</v>
      </c>
      <c r="C8" s="36" t="s">
        <v>52</v>
      </c>
      <c r="D8">
        <v>17</v>
      </c>
      <c r="E8">
        <v>12</v>
      </c>
      <c r="F8" s="41" t="s">
        <v>102</v>
      </c>
      <c r="G8">
        <v>19</v>
      </c>
      <c r="H8">
        <v>21</v>
      </c>
      <c r="I8">
        <v>4</v>
      </c>
      <c r="J8" s="21">
        <v>0</v>
      </c>
      <c r="K8" s="21">
        <v>0</v>
      </c>
      <c r="L8">
        <v>14</v>
      </c>
      <c r="M8">
        <v>1</v>
      </c>
      <c r="N8"/>
      <c r="O8"/>
      <c r="P8"/>
      <c r="Q8"/>
      <c r="R8"/>
      <c r="S8"/>
      <c r="T8"/>
      <c r="U8"/>
      <c r="V8"/>
    </row>
    <row r="9" spans="1:22" ht="15" customHeight="1" thickBot="1" x14ac:dyDescent="0.3">
      <c r="A9" s="8">
        <v>7</v>
      </c>
      <c r="B9" s="35" t="s">
        <v>15</v>
      </c>
      <c r="C9" s="36" t="s">
        <v>53</v>
      </c>
      <c r="D9">
        <v>31</v>
      </c>
      <c r="E9" s="21">
        <v>0</v>
      </c>
      <c r="F9">
        <v>32.5</v>
      </c>
      <c r="G9">
        <v>30.5</v>
      </c>
      <c r="H9">
        <v>82</v>
      </c>
      <c r="I9">
        <v>9</v>
      </c>
      <c r="J9" s="21">
        <v>0</v>
      </c>
      <c r="K9" s="21">
        <v>0</v>
      </c>
      <c r="L9">
        <v>23</v>
      </c>
      <c r="M9">
        <v>9</v>
      </c>
      <c r="N9"/>
      <c r="O9"/>
      <c r="P9"/>
      <c r="Q9"/>
      <c r="R9"/>
      <c r="S9"/>
      <c r="T9"/>
      <c r="U9"/>
      <c r="V9"/>
    </row>
    <row r="10" spans="1:22" ht="15" customHeight="1" thickBot="1" x14ac:dyDescent="0.3">
      <c r="A10" s="8">
        <v>8</v>
      </c>
      <c r="B10" s="35" t="s">
        <v>16</v>
      </c>
      <c r="C10" s="36" t="s">
        <v>54</v>
      </c>
      <c r="D10" s="21">
        <v>0</v>
      </c>
      <c r="E10">
        <v>9</v>
      </c>
      <c r="F10">
        <v>8.5</v>
      </c>
      <c r="G10">
        <v>4</v>
      </c>
      <c r="H10" s="21">
        <v>0</v>
      </c>
      <c r="I10">
        <v>0</v>
      </c>
      <c r="J10" s="21">
        <v>0</v>
      </c>
      <c r="K10">
        <v>3</v>
      </c>
      <c r="L10" s="21">
        <v>0</v>
      </c>
      <c r="M10" s="21">
        <v>0</v>
      </c>
      <c r="N10"/>
      <c r="O10"/>
      <c r="P10"/>
      <c r="Q10"/>
      <c r="R10"/>
      <c r="S10"/>
      <c r="T10"/>
      <c r="U10"/>
      <c r="V10"/>
    </row>
    <row r="11" spans="1:22" ht="15" customHeight="1" x14ac:dyDescent="0.25">
      <c r="A11" s="8">
        <v>9</v>
      </c>
      <c r="B11" s="35" t="s">
        <v>17</v>
      </c>
      <c r="C11" s="36" t="s">
        <v>55</v>
      </c>
      <c r="D11">
        <v>24.5</v>
      </c>
      <c r="E11">
        <v>15</v>
      </c>
      <c r="F11">
        <v>15</v>
      </c>
      <c r="G11">
        <v>10</v>
      </c>
      <c r="H11">
        <v>49.5</v>
      </c>
      <c r="I11">
        <v>4</v>
      </c>
      <c r="J11" s="21">
        <v>0</v>
      </c>
      <c r="K11">
        <v>3.5</v>
      </c>
      <c r="L11">
        <v>48</v>
      </c>
      <c r="M11">
        <v>2</v>
      </c>
      <c r="N11"/>
      <c r="O11"/>
      <c r="P11"/>
      <c r="Q11"/>
      <c r="R11"/>
      <c r="S11"/>
      <c r="T11"/>
      <c r="U11"/>
      <c r="V11"/>
    </row>
    <row r="12" spans="1:22" ht="15" customHeight="1" thickBot="1" x14ac:dyDescent="0.35">
      <c r="A12" s="8">
        <v>10</v>
      </c>
      <c r="B12" s="35" t="s">
        <v>18</v>
      </c>
      <c r="C12" s="36" t="s">
        <v>56</v>
      </c>
      <c r="D12">
        <v>21.5</v>
      </c>
      <c r="E12">
        <v>12</v>
      </c>
      <c r="F12">
        <v>26</v>
      </c>
      <c r="G12">
        <v>9</v>
      </c>
      <c r="H12">
        <v>68.5</v>
      </c>
      <c r="I12">
        <v>9</v>
      </c>
      <c r="J12" s="37">
        <v>15</v>
      </c>
      <c r="K12">
        <v>4</v>
      </c>
      <c r="L12">
        <v>40</v>
      </c>
      <c r="M12">
        <v>4</v>
      </c>
      <c r="N12"/>
      <c r="O12"/>
      <c r="P12"/>
      <c r="Q12"/>
      <c r="R12"/>
      <c r="S12"/>
      <c r="T12"/>
      <c r="U12"/>
      <c r="V12"/>
    </row>
    <row r="13" spans="1:22" ht="15" customHeight="1" thickBot="1" x14ac:dyDescent="0.35">
      <c r="A13" s="8">
        <v>11</v>
      </c>
      <c r="B13" s="35" t="s">
        <v>19</v>
      </c>
      <c r="C13" s="36" t="s">
        <v>57</v>
      </c>
      <c r="D13" s="21">
        <v>0</v>
      </c>
      <c r="E13" s="21">
        <v>0</v>
      </c>
      <c r="F13">
        <v>12</v>
      </c>
      <c r="G13">
        <v>12.5</v>
      </c>
      <c r="H13" s="21">
        <v>0</v>
      </c>
      <c r="I13">
        <v>4</v>
      </c>
      <c r="J13" s="37">
        <v>21</v>
      </c>
      <c r="K13">
        <v>3</v>
      </c>
      <c r="L13">
        <v>6</v>
      </c>
      <c r="M13">
        <v>5</v>
      </c>
      <c r="N13"/>
      <c r="O13"/>
      <c r="P13"/>
      <c r="Q13"/>
      <c r="R13"/>
      <c r="S13"/>
      <c r="T13"/>
      <c r="U13"/>
      <c r="V13"/>
    </row>
    <row r="14" spans="1:22" ht="15" customHeight="1" thickBot="1" x14ac:dyDescent="0.3">
      <c r="A14" s="8">
        <v>12</v>
      </c>
      <c r="B14" s="35" t="s">
        <v>20</v>
      </c>
      <c r="C14" s="36" t="s">
        <v>58</v>
      </c>
      <c r="D14">
        <v>25.5</v>
      </c>
      <c r="E14">
        <v>15</v>
      </c>
      <c r="F14">
        <v>17.5</v>
      </c>
      <c r="G14">
        <v>26.5</v>
      </c>
      <c r="H14">
        <v>55</v>
      </c>
      <c r="I14">
        <v>2</v>
      </c>
      <c r="J14" s="21">
        <v>0</v>
      </c>
      <c r="K14">
        <v>0.5</v>
      </c>
      <c r="L14" s="21">
        <v>0</v>
      </c>
      <c r="M14">
        <v>10</v>
      </c>
      <c r="N14"/>
      <c r="O14"/>
      <c r="P14"/>
      <c r="Q14"/>
      <c r="R14"/>
      <c r="S14"/>
      <c r="T14"/>
      <c r="U14"/>
      <c r="V14"/>
    </row>
    <row r="15" spans="1:22" ht="15" customHeight="1" x14ac:dyDescent="0.25">
      <c r="A15" s="8">
        <v>13</v>
      </c>
      <c r="B15" s="35" t="s">
        <v>21</v>
      </c>
      <c r="C15" s="36" t="s">
        <v>59</v>
      </c>
      <c r="D15">
        <v>18</v>
      </c>
      <c r="E15">
        <v>9</v>
      </c>
      <c r="F15">
        <v>21.5</v>
      </c>
      <c r="G15">
        <v>26.5</v>
      </c>
      <c r="H15">
        <v>32</v>
      </c>
      <c r="I15">
        <v>1</v>
      </c>
      <c r="J15" s="21">
        <v>0</v>
      </c>
      <c r="K15">
        <v>3.5</v>
      </c>
      <c r="L15">
        <v>40</v>
      </c>
      <c r="M15">
        <v>9</v>
      </c>
      <c r="N15"/>
      <c r="O15"/>
      <c r="P15"/>
      <c r="Q15"/>
      <c r="R15"/>
      <c r="S15"/>
      <c r="T15"/>
      <c r="U15"/>
      <c r="V15"/>
    </row>
    <row r="16" spans="1:22" ht="15" customHeight="1" thickBot="1" x14ac:dyDescent="0.35">
      <c r="A16" s="8">
        <v>14</v>
      </c>
      <c r="B16" s="35" t="s">
        <v>22</v>
      </c>
      <c r="C16" s="36" t="s">
        <v>60</v>
      </c>
      <c r="D16">
        <v>20.5</v>
      </c>
      <c r="E16">
        <v>10</v>
      </c>
      <c r="F16">
        <v>21.5</v>
      </c>
      <c r="G16">
        <v>19.5</v>
      </c>
      <c r="H16">
        <v>31</v>
      </c>
      <c r="I16">
        <v>3</v>
      </c>
      <c r="J16" s="37">
        <v>27</v>
      </c>
      <c r="K16">
        <v>4</v>
      </c>
      <c r="L16">
        <v>43</v>
      </c>
      <c r="M16">
        <v>6</v>
      </c>
      <c r="N16"/>
      <c r="O16"/>
      <c r="P16"/>
      <c r="Q16"/>
      <c r="R16"/>
      <c r="S16"/>
      <c r="T16"/>
      <c r="U16"/>
      <c r="V16"/>
    </row>
    <row r="17" spans="1:22" ht="15" customHeight="1" x14ac:dyDescent="0.3">
      <c r="A17" s="8">
        <v>15</v>
      </c>
      <c r="B17" s="35" t="s">
        <v>23</v>
      </c>
      <c r="C17" s="36" t="s">
        <v>61</v>
      </c>
      <c r="D17" s="21">
        <v>0</v>
      </c>
      <c r="E17" s="21">
        <v>0</v>
      </c>
      <c r="F17">
        <v>25.5</v>
      </c>
      <c r="G17">
        <v>6</v>
      </c>
      <c r="H17" s="21">
        <v>0</v>
      </c>
      <c r="I17">
        <v>10</v>
      </c>
      <c r="J17" s="37">
        <v>43</v>
      </c>
      <c r="K17">
        <v>2</v>
      </c>
      <c r="L17">
        <v>39</v>
      </c>
      <c r="M17">
        <v>10</v>
      </c>
      <c r="N17"/>
      <c r="O17"/>
      <c r="P17"/>
      <c r="Q17"/>
      <c r="R17"/>
      <c r="S17"/>
      <c r="T17"/>
      <c r="U17"/>
      <c r="V17"/>
    </row>
    <row r="18" spans="1:22" ht="15" customHeight="1" thickBot="1" x14ac:dyDescent="0.35">
      <c r="A18" s="8">
        <v>16</v>
      </c>
      <c r="B18" s="35" t="s">
        <v>24</v>
      </c>
      <c r="C18" s="36" t="s">
        <v>62</v>
      </c>
      <c r="D18">
        <v>25</v>
      </c>
      <c r="E18">
        <v>13</v>
      </c>
      <c r="F18">
        <v>16.5</v>
      </c>
      <c r="G18">
        <v>8.5</v>
      </c>
      <c r="H18">
        <v>20.5</v>
      </c>
      <c r="I18">
        <v>4</v>
      </c>
      <c r="J18" s="37">
        <v>74</v>
      </c>
      <c r="K18">
        <v>4</v>
      </c>
      <c r="L18">
        <v>37.5</v>
      </c>
      <c r="M18">
        <v>4</v>
      </c>
      <c r="N18"/>
      <c r="O18"/>
      <c r="P18"/>
      <c r="Q18"/>
      <c r="R18"/>
      <c r="S18"/>
      <c r="T18"/>
      <c r="U18"/>
      <c r="V18"/>
    </row>
    <row r="19" spans="1:22" ht="15" customHeight="1" x14ac:dyDescent="0.25">
      <c r="A19" s="8">
        <v>17</v>
      </c>
      <c r="B19" s="35" t="s">
        <v>25</v>
      </c>
      <c r="C19" s="36" t="s">
        <v>63</v>
      </c>
      <c r="D19">
        <v>29</v>
      </c>
      <c r="E19">
        <v>14</v>
      </c>
      <c r="F19">
        <v>20.5</v>
      </c>
      <c r="G19">
        <v>16</v>
      </c>
      <c r="H19">
        <v>53</v>
      </c>
      <c r="I19" s="21">
        <v>0</v>
      </c>
      <c r="J19" s="21">
        <v>0</v>
      </c>
      <c r="K19">
        <v>3</v>
      </c>
      <c r="L19">
        <v>37</v>
      </c>
      <c r="M19">
        <v>0</v>
      </c>
      <c r="N19"/>
      <c r="O19"/>
      <c r="P19"/>
      <c r="Q19"/>
      <c r="R19"/>
      <c r="S19"/>
      <c r="T19"/>
      <c r="U19"/>
      <c r="V19"/>
    </row>
    <row r="20" spans="1:22" ht="15" customHeight="1" x14ac:dyDescent="0.3">
      <c r="A20" s="8">
        <v>18</v>
      </c>
      <c r="B20" s="35" t="s">
        <v>26</v>
      </c>
      <c r="C20" s="36" t="s">
        <v>64</v>
      </c>
      <c r="D20">
        <v>22</v>
      </c>
      <c r="E20">
        <v>10</v>
      </c>
      <c r="F20">
        <v>23</v>
      </c>
      <c r="G20">
        <v>9.5</v>
      </c>
      <c r="H20">
        <v>59.5</v>
      </c>
      <c r="I20">
        <v>5</v>
      </c>
      <c r="J20" s="37">
        <v>57</v>
      </c>
      <c r="K20">
        <v>2.5</v>
      </c>
      <c r="L20">
        <v>40</v>
      </c>
      <c r="M20">
        <v>0</v>
      </c>
      <c r="N20"/>
      <c r="O20"/>
      <c r="P20"/>
      <c r="Q20"/>
      <c r="R20"/>
      <c r="S20"/>
      <c r="T20"/>
      <c r="U20"/>
      <c r="V20"/>
    </row>
    <row r="21" spans="1:22" ht="15" customHeight="1" x14ac:dyDescent="0.3">
      <c r="A21" s="8">
        <v>19</v>
      </c>
      <c r="B21" s="35" t="s">
        <v>27</v>
      </c>
      <c r="C21" s="36" t="s">
        <v>65</v>
      </c>
      <c r="D21">
        <v>27</v>
      </c>
      <c r="E21">
        <v>15</v>
      </c>
      <c r="F21">
        <v>30.5</v>
      </c>
      <c r="G21">
        <v>32</v>
      </c>
      <c r="H21">
        <v>82</v>
      </c>
      <c r="I21">
        <v>8</v>
      </c>
      <c r="J21" s="37">
        <v>69</v>
      </c>
      <c r="K21">
        <v>2.5</v>
      </c>
      <c r="L21">
        <v>30</v>
      </c>
      <c r="M21">
        <v>4</v>
      </c>
      <c r="N21"/>
      <c r="O21"/>
      <c r="P21"/>
      <c r="Q21"/>
      <c r="R21"/>
      <c r="S21"/>
      <c r="T21"/>
      <c r="U21"/>
      <c r="V21"/>
    </row>
    <row r="22" spans="1:22" ht="15" customHeight="1" x14ac:dyDescent="0.3">
      <c r="A22" s="8">
        <v>20</v>
      </c>
      <c r="B22" s="35" t="s">
        <v>28</v>
      </c>
      <c r="C22" s="36" t="s">
        <v>66</v>
      </c>
      <c r="D22">
        <v>12</v>
      </c>
      <c r="E22">
        <v>14</v>
      </c>
      <c r="F22">
        <v>16.5</v>
      </c>
      <c r="G22">
        <v>15.5</v>
      </c>
      <c r="H22">
        <v>78</v>
      </c>
      <c r="I22">
        <v>8</v>
      </c>
      <c r="J22" s="37">
        <v>45</v>
      </c>
      <c r="K22">
        <v>4</v>
      </c>
      <c r="L22">
        <v>35</v>
      </c>
      <c r="M22">
        <v>2</v>
      </c>
      <c r="N22"/>
      <c r="O22"/>
      <c r="P22"/>
      <c r="Q22"/>
      <c r="R22"/>
      <c r="S22"/>
      <c r="T22"/>
      <c r="U22"/>
      <c r="V22"/>
    </row>
    <row r="23" spans="1:22" ht="15" customHeight="1" x14ac:dyDescent="0.3">
      <c r="A23" s="8">
        <v>21</v>
      </c>
      <c r="B23" s="35" t="s">
        <v>29</v>
      </c>
      <c r="C23" s="36" t="s">
        <v>67</v>
      </c>
      <c r="D23">
        <v>32</v>
      </c>
      <c r="E23">
        <v>15</v>
      </c>
      <c r="F23">
        <v>28</v>
      </c>
      <c r="G23">
        <v>31</v>
      </c>
      <c r="H23">
        <v>80</v>
      </c>
      <c r="I23">
        <v>7</v>
      </c>
      <c r="J23" s="37">
        <v>74.5</v>
      </c>
      <c r="K23">
        <v>2.5</v>
      </c>
      <c r="L23">
        <v>45</v>
      </c>
      <c r="M23">
        <v>10</v>
      </c>
      <c r="N23"/>
      <c r="O23"/>
      <c r="P23"/>
      <c r="Q23"/>
      <c r="R23"/>
      <c r="S23"/>
      <c r="T23"/>
      <c r="U23"/>
      <c r="V23"/>
    </row>
    <row r="24" spans="1:22" ht="15" customHeight="1" x14ac:dyDescent="0.3">
      <c r="A24" s="8">
        <v>22</v>
      </c>
      <c r="B24" s="35" t="s">
        <v>30</v>
      </c>
      <c r="C24" s="36" t="s">
        <v>68</v>
      </c>
      <c r="D24">
        <v>27</v>
      </c>
      <c r="E24">
        <v>13</v>
      </c>
      <c r="F24">
        <v>23.5</v>
      </c>
      <c r="G24">
        <v>14</v>
      </c>
      <c r="H24">
        <v>46.5</v>
      </c>
      <c r="I24">
        <v>10</v>
      </c>
      <c r="J24" s="37">
        <v>81</v>
      </c>
      <c r="K24">
        <v>4</v>
      </c>
      <c r="L24">
        <v>35</v>
      </c>
      <c r="M24">
        <v>4</v>
      </c>
      <c r="N24"/>
      <c r="O24"/>
      <c r="P24"/>
      <c r="Q24"/>
      <c r="R24"/>
      <c r="S24"/>
      <c r="T24"/>
      <c r="U24"/>
      <c r="V24"/>
    </row>
    <row r="25" spans="1:22" ht="15" customHeight="1" x14ac:dyDescent="0.3">
      <c r="A25" s="8">
        <v>23</v>
      </c>
      <c r="B25" s="35" t="s">
        <v>31</v>
      </c>
      <c r="C25" s="36" t="s">
        <v>69</v>
      </c>
      <c r="D25">
        <v>28</v>
      </c>
      <c r="E25">
        <v>10</v>
      </c>
      <c r="F25">
        <v>23.5</v>
      </c>
      <c r="G25">
        <v>21</v>
      </c>
      <c r="H25">
        <v>38</v>
      </c>
      <c r="I25">
        <v>7</v>
      </c>
      <c r="J25" s="37">
        <v>43</v>
      </c>
      <c r="K25">
        <v>2.5</v>
      </c>
      <c r="L25">
        <v>35</v>
      </c>
      <c r="M25">
        <v>1</v>
      </c>
      <c r="N25"/>
      <c r="O25"/>
      <c r="P25"/>
      <c r="Q25"/>
      <c r="R25"/>
      <c r="S25"/>
      <c r="T25"/>
      <c r="U25"/>
      <c r="V25"/>
    </row>
    <row r="26" spans="1:22" ht="15" customHeight="1" x14ac:dyDescent="0.3">
      <c r="A26" s="8">
        <v>24</v>
      </c>
      <c r="B26" s="35" t="s">
        <v>32</v>
      </c>
      <c r="C26" s="36" t="s">
        <v>70</v>
      </c>
      <c r="D26">
        <v>27</v>
      </c>
      <c r="E26">
        <v>13</v>
      </c>
      <c r="F26">
        <v>21</v>
      </c>
      <c r="G26">
        <v>32</v>
      </c>
      <c r="H26">
        <v>72.5</v>
      </c>
      <c r="I26">
        <v>5</v>
      </c>
      <c r="J26" s="37">
        <v>84</v>
      </c>
      <c r="K26">
        <v>4</v>
      </c>
      <c r="L26">
        <v>36</v>
      </c>
      <c r="M26">
        <v>5</v>
      </c>
      <c r="N26"/>
      <c r="O26"/>
      <c r="P26"/>
      <c r="Q26"/>
      <c r="R26"/>
      <c r="S26"/>
      <c r="T26"/>
      <c r="U26"/>
      <c r="V26"/>
    </row>
    <row r="27" spans="1:22" ht="15" customHeight="1" x14ac:dyDescent="0.3">
      <c r="A27" s="8">
        <v>25</v>
      </c>
      <c r="B27" s="35" t="s">
        <v>33</v>
      </c>
      <c r="C27" s="36" t="s">
        <v>71</v>
      </c>
      <c r="D27">
        <v>17</v>
      </c>
      <c r="E27">
        <v>9</v>
      </c>
      <c r="F27">
        <v>8</v>
      </c>
      <c r="G27">
        <v>37.5</v>
      </c>
      <c r="H27">
        <v>58.5</v>
      </c>
      <c r="I27">
        <v>8</v>
      </c>
      <c r="J27" s="37">
        <v>72</v>
      </c>
      <c r="K27">
        <v>3</v>
      </c>
      <c r="L27">
        <v>44</v>
      </c>
      <c r="M27">
        <v>7</v>
      </c>
      <c r="N27"/>
      <c r="O27"/>
      <c r="P27"/>
      <c r="Q27"/>
      <c r="R27"/>
      <c r="S27"/>
      <c r="T27"/>
      <c r="U27"/>
      <c r="V27"/>
    </row>
    <row r="28" spans="1:22" ht="15" customHeight="1" x14ac:dyDescent="0.3">
      <c r="A28" s="8">
        <v>26</v>
      </c>
      <c r="B28" s="35" t="s">
        <v>34</v>
      </c>
      <c r="C28" s="36" t="s">
        <v>72</v>
      </c>
      <c r="D28">
        <v>27</v>
      </c>
      <c r="E28">
        <v>15</v>
      </c>
      <c r="F28">
        <v>28.5</v>
      </c>
      <c r="G28"/>
      <c r="H28">
        <v>45.5</v>
      </c>
      <c r="I28">
        <v>4</v>
      </c>
      <c r="J28" s="37">
        <v>22</v>
      </c>
      <c r="K28">
        <v>5.5</v>
      </c>
      <c r="L28">
        <v>21</v>
      </c>
      <c r="M28">
        <v>7</v>
      </c>
      <c r="N28"/>
      <c r="O28"/>
      <c r="P28"/>
      <c r="Q28"/>
      <c r="R28"/>
      <c r="S28"/>
      <c r="T28"/>
      <c r="U28"/>
      <c r="V28"/>
    </row>
    <row r="29" spans="1:22" ht="15" customHeight="1" x14ac:dyDescent="0.3">
      <c r="A29" s="8">
        <v>27</v>
      </c>
      <c r="B29" s="35" t="s">
        <v>35</v>
      </c>
      <c r="C29" s="36" t="s">
        <v>73</v>
      </c>
      <c r="D29">
        <v>28</v>
      </c>
      <c r="E29">
        <v>15</v>
      </c>
      <c r="F29">
        <v>26</v>
      </c>
      <c r="G29">
        <v>21.5</v>
      </c>
      <c r="H29">
        <v>83</v>
      </c>
      <c r="I29">
        <v>9</v>
      </c>
      <c r="J29" s="37">
        <v>92</v>
      </c>
      <c r="K29">
        <v>3</v>
      </c>
      <c r="L29">
        <v>39.5</v>
      </c>
      <c r="M29">
        <v>4</v>
      </c>
      <c r="N29"/>
      <c r="O29"/>
      <c r="P29"/>
      <c r="Q29"/>
      <c r="R29"/>
      <c r="S29"/>
      <c r="T29"/>
      <c r="U29"/>
      <c r="V29"/>
    </row>
    <row r="30" spans="1:22" ht="15" customHeight="1" thickBot="1" x14ac:dyDescent="0.35">
      <c r="A30" s="8">
        <v>28</v>
      </c>
      <c r="B30" s="35" t="s">
        <v>36</v>
      </c>
      <c r="C30" s="36" t="s">
        <v>74</v>
      </c>
      <c r="D30">
        <v>32</v>
      </c>
      <c r="E30">
        <v>15</v>
      </c>
      <c r="F30">
        <v>24.5</v>
      </c>
      <c r="G30">
        <v>27</v>
      </c>
      <c r="H30">
        <v>75</v>
      </c>
      <c r="I30">
        <v>10</v>
      </c>
      <c r="J30" s="37">
        <v>98</v>
      </c>
      <c r="K30">
        <v>3</v>
      </c>
      <c r="L30">
        <v>48</v>
      </c>
      <c r="M30">
        <v>6</v>
      </c>
      <c r="N30"/>
      <c r="O30"/>
      <c r="P30"/>
      <c r="Q30"/>
      <c r="R30"/>
      <c r="S30"/>
      <c r="T30"/>
      <c r="U30"/>
      <c r="V30"/>
    </row>
    <row r="31" spans="1:22" ht="15" customHeight="1" thickBot="1" x14ac:dyDescent="0.3">
      <c r="A31" s="8">
        <v>29</v>
      </c>
      <c r="B31" s="35" t="s">
        <v>37</v>
      </c>
      <c r="C31" s="36" t="s">
        <v>75</v>
      </c>
      <c r="D31">
        <v>19.5</v>
      </c>
      <c r="E31">
        <v>13</v>
      </c>
      <c r="F31">
        <v>14</v>
      </c>
      <c r="G31">
        <v>29.5</v>
      </c>
      <c r="H31" s="21">
        <v>0</v>
      </c>
      <c r="I31">
        <v>5</v>
      </c>
      <c r="J31" s="21">
        <v>0</v>
      </c>
      <c r="K31">
        <v>4</v>
      </c>
      <c r="L31">
        <v>25</v>
      </c>
      <c r="M31">
        <v>4</v>
      </c>
      <c r="N31"/>
      <c r="O31"/>
      <c r="P31"/>
      <c r="Q31"/>
      <c r="R31"/>
      <c r="S31"/>
      <c r="T31"/>
      <c r="U31"/>
      <c r="V31"/>
    </row>
    <row r="32" spans="1:22" ht="15" customHeight="1" x14ac:dyDescent="0.25">
      <c r="A32" s="8">
        <v>30</v>
      </c>
      <c r="B32" s="35" t="s">
        <v>38</v>
      </c>
      <c r="C32" s="36" t="s">
        <v>76</v>
      </c>
      <c r="D32" s="21">
        <v>0</v>
      </c>
      <c r="E32" s="21">
        <v>0</v>
      </c>
      <c r="F32">
        <v>32</v>
      </c>
      <c r="G32">
        <v>36.5</v>
      </c>
      <c r="H32">
        <v>43</v>
      </c>
      <c r="I32">
        <v>7</v>
      </c>
      <c r="J32" s="21">
        <v>0</v>
      </c>
      <c r="K32">
        <v>4</v>
      </c>
      <c r="L32" s="40">
        <v>48</v>
      </c>
      <c r="M32">
        <v>4</v>
      </c>
      <c r="N32"/>
      <c r="O32"/>
      <c r="P32"/>
      <c r="Q32"/>
      <c r="R32"/>
      <c r="S32"/>
      <c r="T32"/>
      <c r="U32"/>
      <c r="V32"/>
    </row>
    <row r="33" spans="1:22" ht="15" customHeight="1" x14ac:dyDescent="0.3">
      <c r="A33" s="8">
        <v>31</v>
      </c>
      <c r="B33" s="35" t="s">
        <v>39</v>
      </c>
      <c r="C33" s="36" t="s">
        <v>77</v>
      </c>
      <c r="D33">
        <v>23</v>
      </c>
      <c r="E33">
        <v>15</v>
      </c>
      <c r="F33">
        <v>22</v>
      </c>
      <c r="G33">
        <v>21.5</v>
      </c>
      <c r="H33">
        <v>51.5</v>
      </c>
      <c r="I33">
        <v>7</v>
      </c>
      <c r="J33" s="37">
        <v>58</v>
      </c>
      <c r="K33">
        <v>4</v>
      </c>
      <c r="L33" s="40">
        <v>39</v>
      </c>
      <c r="M33">
        <v>2</v>
      </c>
      <c r="N33"/>
      <c r="O33"/>
      <c r="P33"/>
      <c r="Q33"/>
      <c r="R33"/>
      <c r="S33"/>
      <c r="T33"/>
      <c r="U33"/>
      <c r="V33"/>
    </row>
    <row r="34" spans="1:22" ht="15" customHeight="1" x14ac:dyDescent="0.3">
      <c r="A34" s="8">
        <v>32</v>
      </c>
      <c r="B34" s="35" t="s">
        <v>40</v>
      </c>
      <c r="C34" s="36" t="s">
        <v>78</v>
      </c>
      <c r="D34">
        <v>28</v>
      </c>
      <c r="E34">
        <v>15</v>
      </c>
      <c r="F34">
        <v>28.5</v>
      </c>
      <c r="G34">
        <v>36</v>
      </c>
      <c r="H34">
        <v>71</v>
      </c>
      <c r="I34">
        <v>5</v>
      </c>
      <c r="J34" s="39">
        <v>61</v>
      </c>
      <c r="K34">
        <v>3.5</v>
      </c>
      <c r="L34"/>
      <c r="M34">
        <v>7</v>
      </c>
      <c r="N34"/>
      <c r="O34"/>
      <c r="P34"/>
      <c r="Q34"/>
      <c r="R34"/>
      <c r="S34"/>
      <c r="T34"/>
      <c r="U34"/>
      <c r="V34"/>
    </row>
    <row r="35" spans="1:22" ht="15" customHeight="1" x14ac:dyDescent="0.3">
      <c r="A35" s="8">
        <v>33</v>
      </c>
      <c r="B35" s="35" t="s">
        <v>41</v>
      </c>
      <c r="C35" s="36" t="s">
        <v>79</v>
      </c>
      <c r="D35">
        <v>29</v>
      </c>
      <c r="E35">
        <v>15</v>
      </c>
      <c r="F35">
        <v>29</v>
      </c>
      <c r="G35">
        <v>36</v>
      </c>
      <c r="H35">
        <v>63</v>
      </c>
      <c r="I35">
        <v>9</v>
      </c>
      <c r="J35" s="37">
        <v>79</v>
      </c>
      <c r="K35">
        <v>4.5</v>
      </c>
      <c r="L35">
        <v>45</v>
      </c>
      <c r="M35">
        <v>3</v>
      </c>
      <c r="N35"/>
      <c r="O35"/>
      <c r="P35"/>
      <c r="Q35"/>
      <c r="R35"/>
      <c r="S35"/>
      <c r="T35"/>
      <c r="U35"/>
      <c r="V35"/>
    </row>
    <row r="36" spans="1:22" ht="15" customHeight="1" x14ac:dyDescent="0.3">
      <c r="A36" s="8">
        <v>34</v>
      </c>
      <c r="B36" s="35" t="s">
        <v>42</v>
      </c>
      <c r="C36" s="36" t="s">
        <v>80</v>
      </c>
      <c r="D36">
        <v>27</v>
      </c>
      <c r="E36">
        <v>14</v>
      </c>
      <c r="F36">
        <v>18.5</v>
      </c>
      <c r="G36">
        <v>14.5</v>
      </c>
      <c r="H36">
        <v>45</v>
      </c>
      <c r="I36">
        <v>6</v>
      </c>
      <c r="J36" s="37">
        <v>72</v>
      </c>
      <c r="K36">
        <v>4</v>
      </c>
      <c r="L36">
        <v>42</v>
      </c>
      <c r="M36">
        <v>2</v>
      </c>
      <c r="N36"/>
      <c r="O36"/>
      <c r="P36"/>
      <c r="Q36"/>
      <c r="R36"/>
      <c r="S36"/>
      <c r="T36"/>
      <c r="U36"/>
      <c r="V36"/>
    </row>
    <row r="37" spans="1:22" ht="15" customHeight="1" thickBot="1" x14ac:dyDescent="0.35">
      <c r="A37" s="8">
        <v>35</v>
      </c>
      <c r="B37" s="35" t="s">
        <v>43</v>
      </c>
      <c r="C37" s="36" t="s">
        <v>81</v>
      </c>
      <c r="D37">
        <v>27</v>
      </c>
      <c r="E37">
        <v>15</v>
      </c>
      <c r="F37">
        <v>20.5</v>
      </c>
      <c r="G37">
        <v>32</v>
      </c>
      <c r="H37">
        <v>64</v>
      </c>
      <c r="I37">
        <v>4</v>
      </c>
      <c r="J37" s="37">
        <v>71</v>
      </c>
      <c r="K37">
        <v>3</v>
      </c>
      <c r="L37">
        <v>44</v>
      </c>
      <c r="M37">
        <v>2</v>
      </c>
      <c r="N37"/>
      <c r="O37"/>
      <c r="P37"/>
      <c r="Q37"/>
      <c r="R37"/>
      <c r="S37"/>
      <c r="T37"/>
      <c r="U37"/>
      <c r="V37"/>
    </row>
    <row r="38" spans="1:22" ht="15" customHeight="1" thickBot="1" x14ac:dyDescent="0.35">
      <c r="A38" s="8">
        <v>36</v>
      </c>
      <c r="B38" s="35" t="s">
        <v>44</v>
      </c>
      <c r="C38" s="36" t="s">
        <v>82</v>
      </c>
      <c r="D38">
        <v>13.5</v>
      </c>
      <c r="E38">
        <v>6</v>
      </c>
      <c r="F38">
        <v>13</v>
      </c>
      <c r="G38">
        <v>5</v>
      </c>
      <c r="H38" s="21">
        <v>0</v>
      </c>
      <c r="I38">
        <v>0</v>
      </c>
      <c r="J38" s="37">
        <v>60</v>
      </c>
      <c r="K38">
        <v>0</v>
      </c>
      <c r="L38" s="40">
        <v>48</v>
      </c>
      <c r="M38">
        <v>0</v>
      </c>
      <c r="N38"/>
      <c r="O38"/>
      <c r="P38"/>
      <c r="Q38"/>
      <c r="R38"/>
      <c r="S38"/>
      <c r="T38"/>
      <c r="U38"/>
      <c r="V38"/>
    </row>
    <row r="39" spans="1:22" ht="15" customHeight="1" thickBot="1" x14ac:dyDescent="0.3">
      <c r="A39" s="8">
        <v>37</v>
      </c>
      <c r="B39" s="35" t="s">
        <v>45</v>
      </c>
      <c r="C39" s="36" t="s">
        <v>83</v>
      </c>
      <c r="D39">
        <v>27</v>
      </c>
      <c r="E39">
        <v>15</v>
      </c>
      <c r="F39">
        <v>19.5</v>
      </c>
      <c r="G39">
        <v>17</v>
      </c>
      <c r="H39">
        <v>59.5</v>
      </c>
      <c r="I39">
        <v>6</v>
      </c>
      <c r="J39" s="21">
        <v>0</v>
      </c>
      <c r="K39"/>
      <c r="L39" s="40">
        <v>23</v>
      </c>
      <c r="M39">
        <v>4</v>
      </c>
      <c r="N39"/>
      <c r="O39"/>
      <c r="P39"/>
      <c r="Q39"/>
      <c r="R39"/>
      <c r="S39"/>
      <c r="T39"/>
      <c r="U39"/>
      <c r="V39"/>
    </row>
    <row r="40" spans="1:22" ht="15" customHeight="1" thickBot="1" x14ac:dyDescent="0.3">
      <c r="A40" s="8">
        <v>38</v>
      </c>
      <c r="B40" s="35" t="s">
        <v>46</v>
      </c>
      <c r="C40" s="36" t="s">
        <v>84</v>
      </c>
      <c r="D40">
        <v>11.25</v>
      </c>
      <c r="E40">
        <v>15</v>
      </c>
      <c r="F40">
        <v>26</v>
      </c>
      <c r="G40">
        <v>34.5</v>
      </c>
      <c r="H40">
        <v>44</v>
      </c>
      <c r="I40">
        <v>8</v>
      </c>
      <c r="J40" s="21">
        <v>0</v>
      </c>
      <c r="K40">
        <v>4</v>
      </c>
      <c r="L40">
        <v>38</v>
      </c>
      <c r="M40">
        <v>7</v>
      </c>
      <c r="N40"/>
      <c r="O40"/>
      <c r="P40"/>
      <c r="Q40"/>
      <c r="R40"/>
      <c r="S40"/>
      <c r="T40"/>
      <c r="U40"/>
      <c r="V40"/>
    </row>
    <row r="41" spans="1:22" ht="15" customHeight="1" thickBot="1" x14ac:dyDescent="0.35">
      <c r="A41" s="8">
        <v>39</v>
      </c>
      <c r="B41" s="35" t="s">
        <v>89</v>
      </c>
      <c r="C41" s="36" t="s">
        <v>90</v>
      </c>
      <c r="D41" s="21">
        <v>0</v>
      </c>
      <c r="E41" s="21">
        <v>0</v>
      </c>
      <c r="F41">
        <v>27.5</v>
      </c>
      <c r="G41">
        <v>17.5</v>
      </c>
      <c r="H41" s="21">
        <v>0</v>
      </c>
      <c r="I41">
        <v>9</v>
      </c>
      <c r="J41" s="39">
        <v>39</v>
      </c>
      <c r="K41">
        <v>2.5</v>
      </c>
      <c r="L41">
        <v>47</v>
      </c>
      <c r="M41">
        <v>0</v>
      </c>
      <c r="N41"/>
      <c r="O41"/>
      <c r="P41"/>
      <c r="Q41"/>
      <c r="R41"/>
      <c r="S41"/>
      <c r="T41"/>
      <c r="U41"/>
      <c r="V41"/>
    </row>
    <row r="42" spans="1:22" ht="15" customHeight="1" x14ac:dyDescent="0.25">
      <c r="A42" s="8">
        <v>40</v>
      </c>
      <c r="B42" s="35" t="s">
        <v>100</v>
      </c>
      <c r="C42" s="36" t="s">
        <v>85</v>
      </c>
      <c r="D42">
        <v>20</v>
      </c>
      <c r="E42">
        <v>13</v>
      </c>
      <c r="F42">
        <v>16.5</v>
      </c>
      <c r="G42">
        <v>20</v>
      </c>
      <c r="H42">
        <v>41</v>
      </c>
      <c r="I42">
        <v>6</v>
      </c>
      <c r="J42" s="21">
        <v>0</v>
      </c>
      <c r="K42">
        <v>4</v>
      </c>
      <c r="L42">
        <v>40</v>
      </c>
      <c r="M42" s="21">
        <v>0</v>
      </c>
      <c r="N42"/>
      <c r="O42"/>
      <c r="P42"/>
      <c r="Q42"/>
      <c r="R42"/>
      <c r="S42"/>
      <c r="T42"/>
      <c r="U42"/>
      <c r="V42"/>
    </row>
    <row r="43" spans="1:22" ht="15" customHeight="1" x14ac:dyDescent="0.25">
      <c r="B43" s="9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ht="15" customHeight="1" thickBot="1" x14ac:dyDescent="0.3">
      <c r="P44" s="33"/>
      <c r="Q44" s="31" t="e">
        <f>(#REF!/#REF!*#REF!) + (#REF!/#REF!*#REF!) + (#REF!/#REF!*#REF!) + (#REF!/#REF!*#REF!) + (#REF!/#REF!*#REF!) + (#REF!/#REF!*#REF!) + (#REF!/#REF!*#REF!) + (#REF!/#REF!*#REF!) + (#REF!/#REF!*#REF!) + (#REF!/#REF!*#REF!) + (#REF!/#REF!*#REF!) + (#REF!/#REF!*#REF!) + (#REF!/#REF!*#REF!) + (#REF!/#REF!*#REF!) + (#REF!/#REF!*#REF!)</f>
        <v>#REF!</v>
      </c>
      <c r="R44" s="30"/>
      <c r="S44"/>
      <c r="T44"/>
      <c r="U44"/>
      <c r="V44"/>
    </row>
    <row r="45" spans="1:22" ht="15" customHeight="1" x14ac:dyDescent="0.25">
      <c r="B45" s="21">
        <v>0</v>
      </c>
      <c r="C45" s="23" t="s">
        <v>7</v>
      </c>
      <c r="D45" s="24"/>
      <c r="E45" s="24"/>
      <c r="N45" s="25"/>
      <c r="O45" s="25"/>
      <c r="S45"/>
      <c r="T45"/>
      <c r="U45"/>
      <c r="V45"/>
    </row>
    <row r="46" spans="1:22" ht="15" customHeight="1" thickBot="1" x14ac:dyDescent="0.3">
      <c r="B46" s="29">
        <v>0</v>
      </c>
      <c r="C46" s="26" t="s">
        <v>8</v>
      </c>
      <c r="D46" s="27"/>
      <c r="E46" s="27"/>
      <c r="N46" s="28"/>
      <c r="O46" s="28"/>
      <c r="S46"/>
      <c r="T46"/>
      <c r="U46"/>
      <c r="V46"/>
    </row>
    <row r="47" spans="1:22" ht="15" customHeight="1" thickBot="1" x14ac:dyDescent="0.3">
      <c r="S47"/>
      <c r="T47"/>
      <c r="U47"/>
      <c r="V47"/>
    </row>
    <row r="48" spans="1:22" ht="15" customHeight="1" x14ac:dyDescent="0.25">
      <c r="C48" s="10" t="s">
        <v>3</v>
      </c>
      <c r="D48" s="11">
        <f t="shared" ref="D48:O48" si="0">MAX(D$3:D$43)</f>
        <v>32</v>
      </c>
      <c r="E48" s="11">
        <f t="shared" si="0"/>
        <v>15</v>
      </c>
      <c r="F48" s="11">
        <f t="shared" si="0"/>
        <v>32.5</v>
      </c>
      <c r="G48" s="11">
        <f t="shared" si="0"/>
        <v>39.5</v>
      </c>
      <c r="H48" s="11">
        <f t="shared" si="0"/>
        <v>83</v>
      </c>
      <c r="I48" s="11">
        <f t="shared" si="0"/>
        <v>10</v>
      </c>
      <c r="J48" s="11">
        <f t="shared" si="0"/>
        <v>98</v>
      </c>
      <c r="K48" s="11">
        <f t="shared" si="0"/>
        <v>5.5</v>
      </c>
      <c r="L48" s="11">
        <f t="shared" si="0"/>
        <v>48</v>
      </c>
      <c r="M48" s="11">
        <f t="shared" si="0"/>
        <v>10</v>
      </c>
      <c r="N48" s="11">
        <f t="shared" si="0"/>
        <v>0</v>
      </c>
      <c r="O48" s="11">
        <f t="shared" si="0"/>
        <v>0</v>
      </c>
      <c r="P48" s="11"/>
      <c r="Q48" s="11" t="e">
        <f>MAX(Q$4:Q$44)</f>
        <v>#REF!</v>
      </c>
      <c r="R48" s="11">
        <f>MAX(R$4:R$44)</f>
        <v>0</v>
      </c>
      <c r="S48" s="3"/>
      <c r="T48" s="31"/>
      <c r="U48" s="22"/>
      <c r="V48" s="32"/>
    </row>
    <row r="49" spans="3:22" ht="15" customHeight="1" x14ac:dyDescent="0.25">
      <c r="C49" s="13" t="s">
        <v>4</v>
      </c>
      <c r="D49" s="14">
        <f t="shared" ref="D49:O49" si="1">MIN(D$3:D$43)</f>
        <v>0</v>
      </c>
      <c r="E49" s="14">
        <f t="shared" si="1"/>
        <v>0</v>
      </c>
      <c r="F49" s="14">
        <f t="shared" si="1"/>
        <v>0</v>
      </c>
      <c r="G49" s="14">
        <f t="shared" si="1"/>
        <v>4</v>
      </c>
      <c r="H49" s="14">
        <f t="shared" si="1"/>
        <v>0</v>
      </c>
      <c r="I49" s="14">
        <f t="shared" si="1"/>
        <v>0</v>
      </c>
      <c r="J49" s="14">
        <f t="shared" si="1"/>
        <v>0</v>
      </c>
      <c r="K49" s="14">
        <f t="shared" si="1"/>
        <v>0</v>
      </c>
      <c r="L49" s="14">
        <f t="shared" si="1"/>
        <v>0</v>
      </c>
      <c r="M49" s="14">
        <f t="shared" si="1"/>
        <v>0</v>
      </c>
      <c r="N49" s="14">
        <f t="shared" si="1"/>
        <v>0</v>
      </c>
      <c r="O49" s="14">
        <f t="shared" si="1"/>
        <v>0</v>
      </c>
      <c r="P49" s="14"/>
      <c r="Q49" s="14" t="e">
        <f>MIN(Q$4:Q$44)</f>
        <v>#REF!</v>
      </c>
      <c r="R49" s="14">
        <f>MIN(R$4:R$44)</f>
        <v>0</v>
      </c>
      <c r="S49" s="3"/>
      <c r="T49" s="31"/>
      <c r="U49" s="22"/>
      <c r="V49" s="32"/>
    </row>
    <row r="50" spans="3:22" ht="15" customHeight="1" x14ac:dyDescent="0.25">
      <c r="C50" s="13" t="s">
        <v>5</v>
      </c>
      <c r="D50" s="14">
        <f t="shared" ref="D50:O50" si="2">AVERAGE(D$3:D$43)</f>
        <v>20.743749999999999</v>
      </c>
      <c r="E50" s="14">
        <f t="shared" si="2"/>
        <v>11.225</v>
      </c>
      <c r="F50" s="14">
        <f t="shared" si="2"/>
        <v>21.051282051282051</v>
      </c>
      <c r="G50" s="14">
        <f t="shared" si="2"/>
        <v>21.368421052631579</v>
      </c>
      <c r="H50" s="14">
        <f t="shared" si="2"/>
        <v>46.387500000000003</v>
      </c>
      <c r="I50" s="14">
        <f t="shared" si="2"/>
        <v>5.9</v>
      </c>
      <c r="J50" s="14">
        <f t="shared" si="2"/>
        <v>38.625</v>
      </c>
      <c r="K50" s="14">
        <f t="shared" si="2"/>
        <v>2.9871794871794872</v>
      </c>
      <c r="L50" s="14">
        <f t="shared" si="2"/>
        <v>35.05263157894737</v>
      </c>
      <c r="M50" s="14">
        <f t="shared" si="2"/>
        <v>4.05</v>
      </c>
      <c r="N50" s="14" t="e">
        <f t="shared" si="2"/>
        <v>#DIV/0!</v>
      </c>
      <c r="O50" s="14" t="e">
        <f t="shared" si="2"/>
        <v>#DIV/0!</v>
      </c>
      <c r="P50" s="14"/>
      <c r="Q50" s="14" t="e">
        <f>AVERAGE(Q$4:Q$44)</f>
        <v>#REF!</v>
      </c>
      <c r="R50" s="14" t="e">
        <f>AVERAGE(R$4:R$44)</f>
        <v>#DIV/0!</v>
      </c>
      <c r="S50" s="3"/>
      <c r="T50" s="31" t="e">
        <f>(#REF!/#REF!*#REF!) + ($S50/#REF!*#REF!) + (#REF!/#REF!*#REF!)</f>
        <v>#REF!</v>
      </c>
      <c r="U50" s="22"/>
      <c r="V50" s="32"/>
    </row>
    <row r="51" spans="3:22" ht="15" customHeight="1" thickBot="1" x14ac:dyDescent="0.3">
      <c r="C51" s="16" t="s">
        <v>6</v>
      </c>
      <c r="D51" s="17">
        <f t="shared" ref="D51:O51" si="3">STDEV(D$3:D$43)</f>
        <v>10.224638339162253</v>
      </c>
      <c r="E51" s="17">
        <f t="shared" si="3"/>
        <v>5.274454644308908</v>
      </c>
      <c r="F51" s="17">
        <f t="shared" si="3"/>
        <v>7.2699768983514756</v>
      </c>
      <c r="G51" s="17">
        <f t="shared" si="3"/>
        <v>10.482085238780416</v>
      </c>
      <c r="H51" s="17">
        <f t="shared" si="3"/>
        <v>26.71729668787043</v>
      </c>
      <c r="I51" s="17">
        <f t="shared" si="3"/>
        <v>3.0280737720918833</v>
      </c>
      <c r="J51" s="17">
        <f t="shared" si="3"/>
        <v>33.798374638510772</v>
      </c>
      <c r="K51" s="17">
        <f t="shared" si="3"/>
        <v>1.3203228247945324</v>
      </c>
      <c r="L51" s="17">
        <f t="shared" si="3"/>
        <v>12.633497661292964</v>
      </c>
      <c r="M51" s="17">
        <f t="shared" si="3"/>
        <v>3.0546307846889169</v>
      </c>
      <c r="N51" s="17" t="e">
        <f t="shared" si="3"/>
        <v>#DIV/0!</v>
      </c>
      <c r="O51" s="17" t="e">
        <f t="shared" si="3"/>
        <v>#DIV/0!</v>
      </c>
      <c r="P51" s="17"/>
      <c r="Q51" s="17" t="e">
        <f>STDEV(Q$4:Q$44)</f>
        <v>#REF!</v>
      </c>
      <c r="R51" s="17" t="e">
        <f>STDEV(R$4:R$44)</f>
        <v>#DIV/0!</v>
      </c>
      <c r="S51" s="3"/>
      <c r="T51" s="31"/>
      <c r="U51" s="22"/>
      <c r="V51" s="32"/>
    </row>
    <row r="52" spans="3:22" ht="15" customHeight="1" x14ac:dyDescent="0.25"/>
    <row r="53" spans="3:22" ht="15" customHeight="1" x14ac:dyDescent="0.25"/>
    <row r="54" spans="3:22" ht="15" customHeight="1" x14ac:dyDescent="0.25"/>
    <row r="55" spans="3:22" ht="15" customHeight="1" thickBot="1" x14ac:dyDescent="0.3"/>
    <row r="56" spans="3:22" ht="15" customHeight="1" x14ac:dyDescent="0.25">
      <c r="S56" s="11">
        <f>MAX(S$4:S$51)</f>
        <v>0</v>
      </c>
      <c r="T56" s="11" t="e">
        <f>MAX(T$4:T$51)</f>
        <v>#REF!</v>
      </c>
      <c r="U56" s="11">
        <f>MAX(U$4:U$51)</f>
        <v>0</v>
      </c>
      <c r="V56" s="12">
        <f>MAX(V$4:V$51)</f>
        <v>0</v>
      </c>
    </row>
    <row r="57" spans="3:22" ht="15" customHeight="1" x14ac:dyDescent="0.25">
      <c r="S57" s="14">
        <f>MIN(S$4:S$51)</f>
        <v>0</v>
      </c>
      <c r="T57" s="14" t="e">
        <f>MIN(T$4:T$51)</f>
        <v>#REF!</v>
      </c>
      <c r="U57" s="14">
        <f>MIN(U$4:U$51)</f>
        <v>0</v>
      </c>
      <c r="V57" s="15">
        <f>MIN(V$4:V$51)</f>
        <v>0</v>
      </c>
    </row>
    <row r="58" spans="3:22" ht="15" customHeight="1" x14ac:dyDescent="0.25">
      <c r="S58" s="14" t="e">
        <f>AVERAGE(S$4:S$51)</f>
        <v>#DIV/0!</v>
      </c>
      <c r="T58" s="14" t="e">
        <f>AVERAGE(T$4:T$51)</f>
        <v>#REF!</v>
      </c>
      <c r="U58" s="14" t="e">
        <f>AVERAGE(U$4:U$51)</f>
        <v>#DIV/0!</v>
      </c>
      <c r="V58" s="15" t="e">
        <f>AVERAGE(V$4:V$51)</f>
        <v>#DIV/0!</v>
      </c>
    </row>
    <row r="59" spans="3:22" ht="15" customHeight="1" thickBot="1" x14ac:dyDescent="0.3">
      <c r="S59" s="17" t="e">
        <f>STDEV(S$4:S$51)</f>
        <v>#DIV/0!</v>
      </c>
      <c r="T59" s="17" t="e">
        <f>STDEV(T$4:T$51)</f>
        <v>#REF!</v>
      </c>
      <c r="U59" s="17" t="e">
        <f>STDEV(U$4:U$51)</f>
        <v>#DIV/0!</v>
      </c>
      <c r="V59" s="18" t="e">
        <f>STDEV(V$4:V$51)</f>
        <v>#DIV/0!</v>
      </c>
    </row>
    <row r="60" spans="3:22" ht="15" customHeight="1" x14ac:dyDescent="0.25">
      <c r="V60" s="4"/>
    </row>
    <row r="61" spans="3:22" ht="15" customHeight="1" x14ac:dyDescent="0.25"/>
    <row r="62" spans="3:22" ht="15" customHeight="1" x14ac:dyDescent="0.25"/>
    <row r="63" spans="3:22" ht="15" customHeight="1" x14ac:dyDescent="0.25"/>
    <row r="64" spans="3:2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Marksheet</vt:lpstr>
      <vt:lpstr>Sheet1</vt:lpstr>
    </vt:vector>
  </TitlesOfParts>
  <Company>FAST-NU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Aziz</dc:creator>
  <dc:description>For F-13</dc:description>
  <cp:lastModifiedBy>zareen alamgir</cp:lastModifiedBy>
  <cp:lastPrinted>2014-06-16T10:23:58Z</cp:lastPrinted>
  <dcterms:created xsi:type="dcterms:W3CDTF">2008-01-31T07:40:11Z</dcterms:created>
  <dcterms:modified xsi:type="dcterms:W3CDTF">2015-12-05T11:33:12Z</dcterms:modified>
</cp:coreProperties>
</file>